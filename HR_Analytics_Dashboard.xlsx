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kkis\Downloads\"/>
    </mc:Choice>
  </mc:AlternateContent>
  <xr:revisionPtr revIDLastSave="0" documentId="8_{8EA828F2-9420-4A87-83B6-3E9EBBD5C36E}" xr6:coauthVersionLast="47" xr6:coauthVersionMax="47" xr10:uidLastSave="{00000000-0000-0000-0000-000000000000}"/>
  <bookViews>
    <workbookView xWindow="-110" yWindow="-110" windowWidth="19420" windowHeight="10300" xr2:uid="{93DEE122-FF71-4794-8042-F2BD1E9893C7}"/>
  </bookViews>
  <sheets>
    <sheet name="Dashboard" sheetId="1" r:id="rId1"/>
    <sheet name="Data" sheetId="4" r:id="rId2"/>
    <sheet name="Pivot table" sheetId="3" r:id="rId3"/>
  </sheets>
  <definedNames>
    <definedName name="ExternalData_1" localSheetId="1" hidden="1">Data!$A$1:$U$51</definedName>
    <definedName name="Slicer_Department">#N/A</definedName>
    <definedName name="Slicer_Gender">#N/A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 i="3" l="1"/>
  <c r="F15" i="3"/>
  <c r="F13" i="3"/>
  <c r="R15" i="3"/>
  <c r="C11" i="3"/>
  <c r="F14" i="3"/>
  <c r="U16" i="3"/>
  <c r="R16" i="3"/>
  <c r="J14" i="3"/>
  <c r="J17" i="3"/>
  <c r="G15" i="3"/>
  <c r="R17" i="3"/>
  <c r="C10" i="3"/>
  <c r="G16" i="3"/>
  <c r="G13" i="3"/>
  <c r="X15" i="3"/>
  <c r="O12" i="3"/>
  <c r="J18" i="3"/>
  <c r="J15" i="3"/>
  <c r="J16" i="3"/>
  <c r="J22" i="3"/>
  <c r="X13" i="3"/>
  <c r="R13" i="3"/>
  <c r="R14" i="3"/>
  <c r="X16" i="3"/>
  <c r="O11" i="3"/>
  <c r="F16" i="3"/>
  <c r="U17" i="3"/>
  <c r="U14" i="3"/>
  <c r="G17" i="3"/>
  <c r="X14" i="3"/>
  <c r="U15" i="3"/>
  <c r="U13" i="3"/>
  <c r="G14" i="3"/>
  <c r="C12" i="3"/>
  <c r="X17" i="3"/>
  <c r="F17" i="3"/>
  <c r="O13" i="3"/>
  <c r="N18" i="3" l="1"/>
  <c r="O18" i="3" s="1"/>
  <c r="U18" i="3"/>
  <c r="N16" i="3"/>
  <c r="O16" i="3" s="1"/>
  <c r="O14" i="3"/>
  <c r="X18" i="3"/>
  <c r="K22" i="3"/>
  <c r="L22" i="3" s="1"/>
  <c r="J24" i="3"/>
  <c r="N17" i="3"/>
  <c r="O17" i="3" s="1"/>
  <c r="G18" i="3"/>
  <c r="C13" i="3"/>
  <c r="J19" i="3"/>
  <c r="F18" i="3"/>
  <c r="K23" i="3"/>
  <c r="L2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99CC2-FDBA-4D23-A4EC-AE662DA0171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<sst xmlns="http://schemas.openxmlformats.org/spreadsheetml/2006/main" count="825" uniqueCount="178">
  <si>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</si>
  <si>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</si>
  <si>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</si>
  <si>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</si>
  <si>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</si>
  <si>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</si>
  <si>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</si>
  <si>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</si>
  <si>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</si>
  <si>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</si>
  <si>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</si>
  <si>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</si>
  <si>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</si>
  <si>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</si>
  <si>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</si>
  <si>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</si>
  <si>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</si>
  <si>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</si>
  <si>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</si>
  <si>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</si>
  <si>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</si>
  <si>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</si>
  <si>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</si>
  <si>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</si>
  <si>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</si>
  <si>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</si>
  <si>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</si>
  <si>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</si>
  <si>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Full-Time</t>
  </si>
  <si>
    <t>Head Office</t>
  </si>
  <si>
    <t>C</t>
  </si>
  <si>
    <t>Health</t>
  </si>
  <si>
    <t>Leadership Training</t>
  </si>
  <si>
    <t>Design</t>
  </si>
  <si>
    <t>Certified Professional</t>
  </si>
  <si>
    <t>Gary Garcia</t>
  </si>
  <si>
    <t>Male</t>
  </si>
  <si>
    <t>26-35</t>
  </si>
  <si>
    <t>Central</t>
  </si>
  <si>
    <t>Designer</t>
  </si>
  <si>
    <t>HR</t>
  </si>
  <si>
    <t>Ashley Simmons MD</t>
  </si>
  <si>
    <t>Branch Office</t>
  </si>
  <si>
    <t>B</t>
  </si>
  <si>
    <t>None</t>
  </si>
  <si>
    <t>Excel Workshop</t>
  </si>
  <si>
    <t>Jeremy Nguyen</t>
  </si>
  <si>
    <t>West</t>
  </si>
  <si>
    <t>HR Specialist</t>
  </si>
  <si>
    <t>Marketing</t>
  </si>
  <si>
    <t>Cassandra Duncan</t>
  </si>
  <si>
    <t>Remote</t>
  </si>
  <si>
    <t>D</t>
  </si>
  <si>
    <t>Management</t>
  </si>
  <si>
    <t>Advanced Training</t>
  </si>
  <si>
    <t>Kimberly Jones</t>
  </si>
  <si>
    <t>36-45</t>
  </si>
  <si>
    <t>Operations</t>
  </si>
  <si>
    <t>Janet Harris</t>
  </si>
  <si>
    <t>Contract</t>
  </si>
  <si>
    <t>A</t>
  </si>
  <si>
    <t>Health + Dental</t>
  </si>
  <si>
    <t>Python</t>
  </si>
  <si>
    <t>Anthony Gates</t>
  </si>
  <si>
    <t>56 &lt;</t>
  </si>
  <si>
    <t>Mr. Frank Clay</t>
  </si>
  <si>
    <t>Courtney Foster</t>
  </si>
  <si>
    <t>Developer</t>
  </si>
  <si>
    <t>Dorothy Price</t>
  </si>
  <si>
    <t>Communication</t>
  </si>
  <si>
    <t>Catherine Hall</t>
  </si>
  <si>
    <t>Michele Sexton</t>
  </si>
  <si>
    <t>Deanna Ball</t>
  </si>
  <si>
    <t>South</t>
  </si>
  <si>
    <t>IT</t>
  </si>
  <si>
    <t>Richard Schmidt</t>
  </si>
  <si>
    <t>Candace Nelson</t>
  </si>
  <si>
    <t>Teresa Pearson</t>
  </si>
  <si>
    <t>Mandy Davis</t>
  </si>
  <si>
    <t>Laura Hart</t>
  </si>
  <si>
    <t>Matthew Powell</t>
  </si>
  <si>
    <t>Andrea May</t>
  </si>
  <si>
    <t>Bruce Nelson</t>
  </si>
  <si>
    <t>Casey Martin</t>
  </si>
  <si>
    <t>Excel</t>
  </si>
  <si>
    <t>Dawn Cole</t>
  </si>
  <si>
    <t>46-55</t>
  </si>
  <si>
    <t>Amber Allen</t>
  </si>
  <si>
    <t>Tanner Morse</t>
  </si>
  <si>
    <t>North</t>
  </si>
  <si>
    <t>Adam Johnson</t>
  </si>
  <si>
    <t>Jose Griffin</t>
  </si>
  <si>
    <t>Nicole Dominguez</t>
  </si>
  <si>
    <t>Daniel Hawkins</t>
  </si>
  <si>
    <t>Andrew Best</t>
  </si>
  <si>
    <t>Part-Time</t>
  </si>
  <si>
    <t>Elaine Mcclain</t>
  </si>
  <si>
    <t>Gabrielle Rodriguez</t>
  </si>
  <si>
    <t>Allison Harvey</t>
  </si>
  <si>
    <t>Thomas Kramer</t>
  </si>
  <si>
    <t>Tristan Mejia</t>
  </si>
  <si>
    <t>Kevin Whitaker</t>
  </si>
  <si>
    <t>Analyst</t>
  </si>
  <si>
    <t>Mary Welch</t>
  </si>
  <si>
    <t>Dustin Carter</t>
  </si>
  <si>
    <t>Douglas Miles</t>
  </si>
  <si>
    <t>Nicole Williamson</t>
  </si>
  <si>
    <t>Jessica Fleming</t>
  </si>
  <si>
    <t>Matthew Knight</t>
  </si>
  <si>
    <t>Christine Lee</t>
  </si>
  <si>
    <t>Donna Jones</t>
  </si>
  <si>
    <t>Mario Smith DVM</t>
  </si>
  <si>
    <t>Carolyn Bullock</t>
  </si>
  <si>
    <t>Joseph Francis</t>
  </si>
  <si>
    <t>Wendy Gomez</t>
  </si>
  <si>
    <t>Sarah Young</t>
  </si>
  <si>
    <t>Michael Thomas</t>
  </si>
  <si>
    <t>Aaron Hart</t>
  </si>
  <si>
    <t>Kevin Bell</t>
  </si>
  <si>
    <t>Brian Boyd</t>
  </si>
  <si>
    <t>Richard Landry</t>
  </si>
  <si>
    <t>Steven Krueger</t>
  </si>
  <si>
    <t>George Hurley</t>
  </si>
  <si>
    <t>Debra Williams</t>
  </si>
  <si>
    <t>Mark Lopez</t>
  </si>
  <si>
    <t>Karen Mitchell</t>
  </si>
  <si>
    <t>Robert Williams</t>
  </si>
  <si>
    <t>Joseph Sanders</t>
  </si>
  <si>
    <t>Mary Schmidt</t>
  </si>
  <si>
    <t>Shelly George</t>
  </si>
  <si>
    <t>Mary Martinez</t>
  </si>
  <si>
    <t>Nicole Houston</t>
  </si>
  <si>
    <t>Paul Hall</t>
  </si>
  <si>
    <t>Kristin Shaffer</t>
  </si>
  <si>
    <t>Samantha Foster</t>
  </si>
  <si>
    <t>Joel Aguilar</t>
  </si>
  <si>
    <t>Timothy Aguilar</t>
  </si>
  <si>
    <t>Michael Wade</t>
  </si>
  <si>
    <t>Charles Andrews</t>
  </si>
  <si>
    <t>Jessica Walsh</t>
  </si>
  <si>
    <t>Veronica Nelson</t>
  </si>
  <si>
    <t>Kelly Mack</t>
  </si>
  <si>
    <t>Chris Sanchez</t>
  </si>
  <si>
    <t>John Conley</t>
  </si>
  <si>
    <t>Cassie Galvan</t>
  </si>
  <si>
    <t>Aaron Baker</t>
  </si>
  <si>
    <t>Jessica Jones</t>
  </si>
  <si>
    <t>Christopher Bass</t>
  </si>
  <si>
    <t>Emily Walker</t>
  </si>
  <si>
    <t>Sean Tucker PhD</t>
  </si>
  <si>
    <t>Vickie Lewis</t>
  </si>
  <si>
    <t>Jacob Scott</t>
  </si>
  <si>
    <t>Alexis Clark</t>
  </si>
  <si>
    <t>Joel Park</t>
  </si>
  <si>
    <t>Robert Davis</t>
  </si>
  <si>
    <t>Russell Marshall</t>
  </si>
  <si>
    <t>Daniel Brown MD</t>
  </si>
  <si>
    <t>James Holden</t>
  </si>
  <si>
    <t>Anna Payne</t>
  </si>
  <si>
    <t>Thomas Murphy</t>
  </si>
  <si>
    <t>Rhonda Pena</t>
  </si>
  <si>
    <t>Mark Abbott</t>
  </si>
  <si>
    <t>Nicole Gonzalez</t>
  </si>
  <si>
    <t>Robin Lynch</t>
  </si>
  <si>
    <t>Row Labels</t>
  </si>
  <si>
    <t>Grand Total</t>
  </si>
  <si>
    <t>Count of Full Name</t>
  </si>
  <si>
    <t>Number of employees to employment status</t>
  </si>
  <si>
    <t>Total</t>
  </si>
  <si>
    <t>Sum of Salary</t>
  </si>
  <si>
    <t>Salaries to Department</t>
  </si>
  <si>
    <t>Column Labels</t>
  </si>
  <si>
    <t>Age range to Gender</t>
  </si>
  <si>
    <t>Workplace</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</si>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</sst>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7">
    <font>
      <sz val="11"/>
      <color theme="1"/>
      <name val="Aptos Narrow"/>
      <family val="2"/>
      <scheme val="minor"/>
    </font>
    <font>
      <sz val="11"/>
      <color theme="1"/>
      <name val="Kulim park"/>
    </font>
    <font>
      <sz val="8"/>
      <name val="Aptos Narrow"/>
      <family val="2"/>
      <scheme val="minor"/>
    </font>
    <font>
      <b/>
      <sz val="11"/>
      <color theme="0"/>
      <name val="Aptos Narrow"/>
      <family val="2"/>
      <scheme val="minor"/>
    </font>
    <font>
      <sz val="11"/>
      <color theme="1"/>
      <name val="Aptos Narrow"/>
      <family val="2"/>
      <scheme val="minor"/>
    </font>
    <font>
      <b/>
      <sz val="11"/>
      <color theme="1"/>
      <name val="Aptos Narrow"/>
      <family val="2"/>
      <scheme val="minor"/>
    </font>
    <font>
      <b/>
      <sz val="10"/>
      <color theme="0"/>
      <name val="Kulim park"/>
    </font>
  </fonts>
  <fills count="6">
    <fill>
      <patternFill patternType="none"/>
    </fill>
    <fill>
      <patternFill patternType="gray125"/>
    </fill>
    <fill>
      <patternFill patternType="solid">
        <fgColor rgb="FF282828"/>
        <bgColor indexed="64"/>
      </patternFill>
    </fill>
    <fill>
      <patternFill patternType="solid">
        <fgColor theme="1"/>
        <bgColor indexed="64"/>
      </patternFill>
    </fill>
    <fill>
      <patternFill patternType="solid">
        <fgColor rgb="FF1F1F1F"/>
        <bgColor indexed="64"/>
      </patternFill>
    </fill>
    <fill>
      <patternFill patternType="solid">
        <fgColor theme="0"/>
        <bgColor indexed="64"/>
      </patternFill>
    </fill>
  </fills>
  <borders count="1">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4">
    <xf numFmtId="0" fontId="0" fillId="0" borderId="0" xfId="0"/>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0" fontId="3" fillId="3" borderId="0" xfId="0" applyFont="1" applyFill="1" applyAlignment="1">
      <alignment horizontal="center" vertical="center"/>
    </xf>
    <xf numFmtId="164" fontId="0" fillId="0" borderId="0" xfId="0" applyNumberFormat="1"/>
    <xf numFmtId="164" fontId="0" fillId="0" borderId="0" xfId="1" applyNumberFormat="1" applyFont="1"/>
    <xf numFmtId="0" fontId="6" fillId="3" borderId="0" xfId="0" applyFont="1" applyFill="1" applyAlignment="1">
      <alignment horizontal="left" vertical="center" indent="1"/>
    </xf>
    <xf numFmtId="9" fontId="5" fillId="0" borderId="0" xfId="2" applyFont="1"/>
    <xf numFmtId="9" fontId="4" fillId="0" borderId="0" xfId="2" applyFont="1"/>
    <xf numFmtId="9" fontId="0" fillId="0" borderId="0" xfId="0" applyNumberFormat="1"/>
    <xf numFmtId="0" fontId="0" fillId="4" borderId="0" xfId="0" applyFill="1" applyAlignment="1">
      <alignment horizontal="center" vertical="center"/>
    </xf>
    <xf numFmtId="0" fontId="3" fillId="3" borderId="0" xfId="0" applyFont="1" applyFill="1" applyAlignment="1">
      <alignment horizontal="left" vertical="center" indent="11"/>
    </xf>
    <xf numFmtId="0" fontId="6" fillId="5" borderId="0" xfId="0" applyFont="1" applyFill="1" applyAlignment="1">
      <alignment horizontal="left" vertical="center" indent="1"/>
    </xf>
    <xf numFmtId="0" fontId="0" fillId="5" borderId="0" xfId="0" applyFill="1"/>
    <xf numFmtId="0" fontId="3" fillId="5" borderId="0" xfId="0" applyFont="1" applyFill="1" applyAlignment="1">
      <alignment horizontal="left" vertical="center" indent="11"/>
    </xf>
    <xf numFmtId="0" fontId="3" fillId="5" borderId="0" xfId="0" applyFont="1" applyFill="1" applyAlignment="1">
      <alignment horizontal="center" vertical="center"/>
    </xf>
    <xf numFmtId="0" fontId="0" fillId="5" borderId="0" xfId="0" applyFill="1" applyAlignment="1">
      <alignment horizontal="center" vertical="center"/>
    </xf>
    <xf numFmtId="165" fontId="0" fillId="0" borderId="0" xfId="0" applyNumberFormat="1"/>
    <xf numFmtId="0" fontId="3" fillId="4" borderId="0" xfId="0" applyFont="1" applyFill="1" applyAlignment="1">
      <alignment horizontal="center" vertical="center"/>
    </xf>
    <xf numFmtId="0" fontId="3" fillId="2" borderId="0" xfId="0" applyFont="1" applyFill="1" applyAlignment="1">
      <alignment horizontal="center" vertical="center"/>
    </xf>
    <xf numFmtId="0" fontId="5" fillId="2" borderId="0" xfId="0" applyFont="1" applyFill="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22">
    <dxf>
      <numFmt numFmtId="165" formatCode="0.0"/>
    </dxf>
    <dxf>
      <numFmt numFmtId="164" formatCode="_-* #,##0_-;\-* #,##0_-;_-* &quot;-&quot;??_-;_-@_-"/>
    </dxf>
    <dxf>
      <numFmt numFmtId="165" formatCode="0.0"/>
    </dxf>
    <dxf>
      <numFmt numFmtId="164" formatCode="_-* #,##0_-;\-* #,##0_-;_-* &quot;-&quot;??_-;_-@_-"/>
    </dxf>
    <dxf>
      <numFmt numFmtId="165" formatCode="0.0"/>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0"/>
        <name val="kulim park semibold"/>
      </font>
      <fill>
        <patternFill>
          <fgColor rgb="FF1F1F1F"/>
          <bgColor rgb="FF1F1F1F"/>
        </patternFill>
      </fill>
    </dxf>
  </dxfs>
  <tableStyles count="1" defaultTableStyle="TableStyleMedium2" defaultPivotStyle="PivotStyleLight16">
    <tableStyle name="Slicer Style 1" pivot="0" table="0" count="4" xr9:uid="{E1C2A1F5-9342-490C-A4D5-D546DEBFF20B}">
      <tableStyleElement type="wholeTable" dxfId="21"/>
    </tableStyle>
  </tableStyles>
  <colors>
    <mruColors>
      <color rgb="FFE5B244"/>
      <color rgb="FF282828"/>
      <color rgb="FF1F1F1F"/>
      <color rgb="FF948A54"/>
      <color rgb="FF77933C"/>
    </mruColors>
  </colors>
  <extLst>
    <ext xmlns:x14="http://schemas.microsoft.com/office/spreadsheetml/2009/9/main" uri="{46F421CA-312F-682f-3DD2-61675219B42D}">
      <x14:dxfs count="3">
        <dxf>
          <font>
            <b/>
            <i val="0"/>
            <sz val="11"/>
            <color rgb="FF1F1F1F"/>
            <name val="kulim park semibold"/>
          </font>
          <fill>
            <patternFill>
              <fgColor rgb="FFE5B244"/>
              <bgColor rgb="FFE5B244"/>
            </patternFill>
          </fill>
        </dxf>
        <dxf>
          <font>
            <b/>
            <i val="0"/>
            <color rgb="FFE5B244"/>
            <name val="Kulim park semibold"/>
          </font>
          <fill>
            <patternFill>
              <bgColor rgb="FF282828"/>
            </patternFill>
          </fill>
        </dxf>
        <dxf>
          <font>
            <b/>
            <i val="0"/>
            <sz val="10"/>
            <color rgb="FF1F1F1F"/>
            <name val="Kulim park semibold"/>
            <scheme val="none"/>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72707407290613E-2"/>
          <c:y val="5.4164778003803121E-2"/>
          <c:w val="0.91000185383583954"/>
          <c:h val="0.89094403932671085"/>
        </c:manualLayout>
      </c:layout>
      <c:pieChart>
        <c:varyColors val="1"/>
        <c:ser>
          <c:idx val="0"/>
          <c:order val="0"/>
          <c:spPr>
            <a:ln w="31750">
              <a:solidFill>
                <a:srgbClr val="282828">
                  <a:alpha val="98000"/>
                </a:srgbClr>
              </a:solidFill>
            </a:ln>
          </c:spPr>
          <c:dPt>
            <c:idx val="0"/>
            <c:bubble3D val="0"/>
            <c:spPr>
              <a:solidFill>
                <a:srgbClr val="E5B244"/>
              </a:solidFill>
              <a:ln w="31750">
                <a:solidFill>
                  <a:srgbClr val="282828">
                    <a:alpha val="98000"/>
                  </a:srgbClr>
                </a:solidFill>
              </a:ln>
              <a:effectLst/>
            </c:spPr>
            <c:extLst>
              <c:ext xmlns:c16="http://schemas.microsoft.com/office/drawing/2014/chart" uri="{C3380CC4-5D6E-409C-BE32-E72D297353CC}">
                <c16:uniqueId val="{00000001-834B-470E-84BF-658AC3892F78}"/>
              </c:ext>
            </c:extLst>
          </c:dPt>
          <c:dPt>
            <c:idx val="1"/>
            <c:bubble3D val="0"/>
            <c:spPr>
              <a:solidFill>
                <a:schemeClr val="tx1">
                  <a:lumMod val="75000"/>
                  <a:lumOff val="25000"/>
                </a:schemeClr>
              </a:solidFill>
              <a:ln w="31750">
                <a:solidFill>
                  <a:srgbClr val="282828">
                    <a:alpha val="98000"/>
                  </a:srgbClr>
                </a:solidFill>
              </a:ln>
              <a:effectLst/>
            </c:spPr>
            <c:extLst>
              <c:ext xmlns:c16="http://schemas.microsoft.com/office/drawing/2014/chart" uri="{C3380CC4-5D6E-409C-BE32-E72D297353CC}">
                <c16:uniqueId val="{00000003-834B-470E-84BF-658AC3892F78}"/>
              </c:ext>
            </c:extLst>
          </c:dPt>
          <c:dPt>
            <c:idx val="2"/>
            <c:bubble3D val="0"/>
            <c:spPr>
              <a:solidFill>
                <a:schemeClr val="bg2">
                  <a:lumMod val="90000"/>
                </a:schemeClr>
              </a:solidFill>
              <a:ln w="31750">
                <a:solidFill>
                  <a:srgbClr val="282828">
                    <a:alpha val="98000"/>
                  </a:srgbClr>
                </a:solidFill>
              </a:ln>
              <a:effectLst/>
            </c:spPr>
            <c:extLst>
              <c:ext xmlns:c16="http://schemas.microsoft.com/office/drawing/2014/chart" uri="{C3380CC4-5D6E-409C-BE32-E72D297353CC}">
                <c16:uniqueId val="{00000005-834B-470E-84BF-658AC3892F78}"/>
              </c:ext>
            </c:extLst>
          </c:dPt>
          <c:cat>
            <c:strRef>
              <c:f>'Pivot table'!$B$10:$B$12</c:f>
              <c:strCache>
                <c:ptCount val="3"/>
                <c:pt idx="0">
                  <c:v>Contract</c:v>
                </c:pt>
                <c:pt idx="1">
                  <c:v>Full-Time</c:v>
                </c:pt>
                <c:pt idx="2">
                  <c:v>Part-Time</c:v>
                </c:pt>
              </c:strCache>
            </c:strRef>
          </c:cat>
          <c:val>
            <c:numRef>
              <c:f>'Pivot table'!$C$10:$C$12</c:f>
              <c:numCache>
                <c:formatCode>General</c:formatCode>
                <c:ptCount val="3"/>
                <c:pt idx="0">
                  <c:v>17</c:v>
                </c:pt>
                <c:pt idx="1">
                  <c:v>20</c:v>
                </c:pt>
                <c:pt idx="2">
                  <c:v>13</c:v>
                </c:pt>
              </c:numCache>
            </c:numRef>
          </c:val>
          <c:extLst>
            <c:ext xmlns:c16="http://schemas.microsoft.com/office/drawing/2014/chart" uri="{C3380CC4-5D6E-409C-BE32-E72D297353CC}">
              <c16:uniqueId val="{00000006-834B-470E-84BF-658AC3892F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table!Age range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table'!$J$4:$J$5</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table'!$I$6:$I$11</c:f>
              <c:strCache>
                <c:ptCount val="5"/>
                <c:pt idx="0">
                  <c:v>18-25</c:v>
                </c:pt>
                <c:pt idx="1">
                  <c:v>26-35</c:v>
                </c:pt>
                <c:pt idx="2">
                  <c:v>36-45</c:v>
                </c:pt>
                <c:pt idx="3">
                  <c:v>46-55</c:v>
                </c:pt>
                <c:pt idx="4">
                  <c:v>56 &lt;</c:v>
                </c:pt>
              </c:strCache>
            </c:strRef>
          </c:cat>
          <c:val>
            <c:numRef>
              <c:f>'Pivot table'!$J$6:$J$11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2CE0-49D5-A0ED-016B7F11A00D}"/>
            </c:ext>
          </c:extLst>
        </c:ser>
        <c:ser>
          <c:idx val="1"/>
          <c:order val="1"/>
          <c:tx>
            <c:strRef>
              <c:f>'Pivot table'!$K$4:$K$5</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table'!$I$6:$I$11</c:f>
              <c:strCache>
                <c:ptCount val="5"/>
                <c:pt idx="0">
                  <c:v>18-25</c:v>
                </c:pt>
                <c:pt idx="1">
                  <c:v>26-35</c:v>
                </c:pt>
                <c:pt idx="2">
                  <c:v>36-45</c:v>
                </c:pt>
                <c:pt idx="3">
                  <c:v>46-55</c:v>
                </c:pt>
                <c:pt idx="4">
                  <c:v>56 &lt;</c:v>
                </c:pt>
              </c:strCache>
            </c:strRef>
          </c:cat>
          <c:val>
            <c:numRef>
              <c:f>'Pivot table'!$K$6:$K$11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5-22BB-40DA-AA30-F95986E483FA}"/>
            </c:ext>
          </c:extLst>
        </c:ser>
        <c:dLbls>
          <c:dLblPos val="outEnd"/>
          <c:showLegendKey val="0"/>
          <c:showVal val="1"/>
          <c:showCatName val="0"/>
          <c:showSerName val="0"/>
          <c:showPercent val="0"/>
          <c:showBubbleSize val="0"/>
        </c:dLbls>
        <c:gapWidth val="219"/>
        <c:overlap val="-27"/>
        <c:axId val="438283760"/>
        <c:axId val="438269840"/>
      </c:barChart>
      <c:catAx>
        <c:axId val="438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38269840"/>
        <c:crosses val="autoZero"/>
        <c:auto val="1"/>
        <c:lblAlgn val="ctr"/>
        <c:lblOffset val="100"/>
        <c:noMultiLvlLbl val="0"/>
      </c:catAx>
      <c:valAx>
        <c:axId val="438269840"/>
        <c:scaling>
          <c:orientation val="minMax"/>
        </c:scaling>
        <c:delete val="1"/>
        <c:axPos val="l"/>
        <c:majorGridlines>
          <c:spPr>
            <a:ln w="9525" cap="flat" cmpd="sng" algn="ctr">
              <a:solidFill>
                <a:srgbClr val="E5B244">
                  <a:alpha val="31000"/>
                </a:srgbClr>
              </a:solidFill>
              <a:prstDash val="dashDot"/>
              <a:round/>
            </a:ln>
            <a:effectLst/>
          </c:spPr>
        </c:majorGridlines>
        <c:numFmt formatCode="General" sourceLinked="1"/>
        <c:majorTickMark val="none"/>
        <c:minorTickMark val="none"/>
        <c:tickLblPos val="nextTo"/>
        <c:crossAx val="43828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table'!$N$16</c:f>
              <c:numCache>
                <c:formatCode>0%</c:formatCode>
                <c:ptCount val="1"/>
                <c:pt idx="0">
                  <c:v>0.46</c:v>
                </c:pt>
              </c:numCache>
            </c:numRef>
          </c:val>
          <c:extLst>
            <c:ext xmlns:c16="http://schemas.microsoft.com/office/drawing/2014/chart" uri="{C3380CC4-5D6E-409C-BE32-E72D297353CC}">
              <c16:uniqueId val="{00000000-DD2F-4D37-88DE-C950A14D6FFB}"/>
            </c:ext>
          </c:extLst>
        </c:ser>
        <c:ser>
          <c:idx val="1"/>
          <c:order val="1"/>
          <c:spPr>
            <a:solidFill>
              <a:srgbClr val="1F1F1F"/>
            </a:solidFill>
            <a:ln>
              <a:noFill/>
            </a:ln>
            <a:effectLst/>
          </c:spPr>
          <c:invertIfNegative val="0"/>
          <c:val>
            <c:numRef>
              <c:f>'Pivot table'!$O$16</c:f>
              <c:numCache>
                <c:formatCode>0%</c:formatCode>
                <c:ptCount val="1"/>
                <c:pt idx="0">
                  <c:v>0.54</c:v>
                </c:pt>
              </c:numCache>
            </c:numRef>
          </c:val>
          <c:extLst>
            <c:ext xmlns:c16="http://schemas.microsoft.com/office/drawing/2014/chart" uri="{C3380CC4-5D6E-409C-BE32-E72D297353CC}">
              <c16:uniqueId val="{00000001-DD2F-4D37-88DE-C950A14D6FFB}"/>
            </c:ext>
          </c:extLst>
        </c:ser>
        <c:dLbls>
          <c:showLegendKey val="0"/>
          <c:showVal val="0"/>
          <c:showCatName val="0"/>
          <c:showSerName val="0"/>
          <c:showPercent val="0"/>
          <c:showBubbleSize val="0"/>
        </c:dLbls>
        <c:gapWidth val="150"/>
        <c:overlap val="100"/>
        <c:axId val="434787632"/>
        <c:axId val="434774672"/>
      </c:barChart>
      <c:catAx>
        <c:axId val="434787632"/>
        <c:scaling>
          <c:orientation val="minMax"/>
        </c:scaling>
        <c:delete val="1"/>
        <c:axPos val="l"/>
        <c:majorTickMark val="none"/>
        <c:minorTickMark val="none"/>
        <c:tickLblPos val="nextTo"/>
        <c:crossAx val="434774672"/>
        <c:crosses val="autoZero"/>
        <c:auto val="1"/>
        <c:lblAlgn val="ctr"/>
        <c:lblOffset val="100"/>
        <c:noMultiLvlLbl val="0"/>
      </c:catAx>
      <c:valAx>
        <c:axId val="434774672"/>
        <c:scaling>
          <c:orientation val="minMax"/>
        </c:scaling>
        <c:delete val="1"/>
        <c:axPos val="b"/>
        <c:numFmt formatCode="0%" sourceLinked="1"/>
        <c:majorTickMark val="none"/>
        <c:minorTickMark val="none"/>
        <c:tickLblPos val="nextTo"/>
        <c:crossAx val="4347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table'!$N$17</c:f>
              <c:numCache>
                <c:formatCode>0%</c:formatCode>
                <c:ptCount val="1"/>
                <c:pt idx="0">
                  <c:v>0.16</c:v>
                </c:pt>
              </c:numCache>
            </c:numRef>
          </c:val>
          <c:extLst>
            <c:ext xmlns:c16="http://schemas.microsoft.com/office/drawing/2014/chart" uri="{C3380CC4-5D6E-409C-BE32-E72D297353CC}">
              <c16:uniqueId val="{00000000-8A37-48FF-B223-EEE5B07E4B50}"/>
            </c:ext>
          </c:extLst>
        </c:ser>
        <c:ser>
          <c:idx val="1"/>
          <c:order val="1"/>
          <c:spPr>
            <a:solidFill>
              <a:srgbClr val="1F1F1F"/>
            </a:solidFill>
            <a:ln>
              <a:noFill/>
            </a:ln>
            <a:effectLst/>
          </c:spPr>
          <c:invertIfNegative val="0"/>
          <c:val>
            <c:numRef>
              <c:f>'Pivot table'!$O$17</c:f>
              <c:numCache>
                <c:formatCode>0%</c:formatCode>
                <c:ptCount val="1"/>
                <c:pt idx="0">
                  <c:v>0.84</c:v>
                </c:pt>
              </c:numCache>
            </c:numRef>
          </c:val>
          <c:extLst>
            <c:ext xmlns:c16="http://schemas.microsoft.com/office/drawing/2014/chart" uri="{C3380CC4-5D6E-409C-BE32-E72D297353CC}">
              <c16:uniqueId val="{00000001-8A37-48FF-B223-EEE5B07E4B50}"/>
            </c:ext>
          </c:extLst>
        </c:ser>
        <c:dLbls>
          <c:showLegendKey val="0"/>
          <c:showVal val="0"/>
          <c:showCatName val="0"/>
          <c:showSerName val="0"/>
          <c:showPercent val="0"/>
          <c:showBubbleSize val="0"/>
        </c:dLbls>
        <c:gapWidth val="150"/>
        <c:overlap val="100"/>
        <c:axId val="561994400"/>
        <c:axId val="561994880"/>
      </c:barChart>
      <c:catAx>
        <c:axId val="561994400"/>
        <c:scaling>
          <c:orientation val="minMax"/>
        </c:scaling>
        <c:delete val="1"/>
        <c:axPos val="l"/>
        <c:numFmt formatCode="General" sourceLinked="1"/>
        <c:majorTickMark val="none"/>
        <c:minorTickMark val="none"/>
        <c:tickLblPos val="nextTo"/>
        <c:crossAx val="561994880"/>
        <c:crosses val="autoZero"/>
        <c:auto val="1"/>
        <c:lblAlgn val="ctr"/>
        <c:lblOffset val="100"/>
        <c:noMultiLvlLbl val="0"/>
      </c:catAx>
      <c:valAx>
        <c:axId val="561994880"/>
        <c:scaling>
          <c:orientation val="minMax"/>
        </c:scaling>
        <c:delete val="1"/>
        <c:axPos val="b"/>
        <c:numFmt formatCode="0%" sourceLinked="1"/>
        <c:majorTickMark val="none"/>
        <c:minorTickMark val="none"/>
        <c:tickLblPos val="nextTo"/>
        <c:crossAx val="5619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table'!$N$18</c:f>
              <c:numCache>
                <c:formatCode>0%</c:formatCode>
                <c:ptCount val="1"/>
                <c:pt idx="0">
                  <c:v>0.38</c:v>
                </c:pt>
              </c:numCache>
            </c:numRef>
          </c:val>
          <c:extLst>
            <c:ext xmlns:c16="http://schemas.microsoft.com/office/drawing/2014/chart" uri="{C3380CC4-5D6E-409C-BE32-E72D297353CC}">
              <c16:uniqueId val="{00000000-F1D3-49FA-8C95-27C04F4416AC}"/>
            </c:ext>
          </c:extLst>
        </c:ser>
        <c:ser>
          <c:idx val="1"/>
          <c:order val="1"/>
          <c:spPr>
            <a:solidFill>
              <a:srgbClr val="1F1F1F"/>
            </a:solidFill>
            <a:ln>
              <a:noFill/>
            </a:ln>
            <a:effectLst/>
          </c:spPr>
          <c:invertIfNegative val="0"/>
          <c:val>
            <c:numRef>
              <c:f>'Pivot table'!$O$18</c:f>
              <c:numCache>
                <c:formatCode>0%</c:formatCode>
                <c:ptCount val="1"/>
                <c:pt idx="0">
                  <c:v>0.62</c:v>
                </c:pt>
              </c:numCache>
            </c:numRef>
          </c:val>
          <c:extLst>
            <c:ext xmlns:c16="http://schemas.microsoft.com/office/drawing/2014/chart" uri="{C3380CC4-5D6E-409C-BE32-E72D297353CC}">
              <c16:uniqueId val="{00000001-F1D3-49FA-8C95-27C04F4416AC}"/>
            </c:ext>
          </c:extLst>
        </c:ser>
        <c:dLbls>
          <c:showLegendKey val="0"/>
          <c:showVal val="0"/>
          <c:showCatName val="0"/>
          <c:showSerName val="0"/>
          <c:showPercent val="0"/>
          <c:showBubbleSize val="0"/>
        </c:dLbls>
        <c:gapWidth val="150"/>
        <c:overlap val="100"/>
        <c:axId val="562022240"/>
        <c:axId val="562022720"/>
      </c:barChart>
      <c:catAx>
        <c:axId val="562022240"/>
        <c:scaling>
          <c:orientation val="minMax"/>
        </c:scaling>
        <c:delete val="1"/>
        <c:axPos val="l"/>
        <c:majorTickMark val="none"/>
        <c:minorTickMark val="none"/>
        <c:tickLblPos val="nextTo"/>
        <c:crossAx val="562022720"/>
        <c:crosses val="autoZero"/>
        <c:auto val="1"/>
        <c:lblAlgn val="ctr"/>
        <c:lblOffset val="100"/>
        <c:noMultiLvlLbl val="0"/>
      </c:catAx>
      <c:valAx>
        <c:axId val="562022720"/>
        <c:scaling>
          <c:orientation val="minMax"/>
        </c:scaling>
        <c:delete val="1"/>
        <c:axPos val="b"/>
        <c:numFmt formatCode="0%" sourceLinked="1"/>
        <c:majorTickMark val="none"/>
        <c:minorTickMark val="none"/>
        <c:tickLblPos val="nextTo"/>
        <c:crossAx val="5620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5B244"/>
              </a:solidFill>
              <a:ln w="19050">
                <a:noFill/>
              </a:ln>
              <a:effectLst/>
            </c:spPr>
            <c:extLst>
              <c:ext xmlns:c16="http://schemas.microsoft.com/office/drawing/2014/chart" uri="{C3380CC4-5D6E-409C-BE32-E72D297353CC}">
                <c16:uniqueId val="{00000001-478A-4C55-A757-D9FBC5EAFBBA}"/>
              </c:ext>
            </c:extLst>
          </c:dPt>
          <c:dPt>
            <c:idx val="1"/>
            <c:bubble3D val="0"/>
            <c:spPr>
              <a:solidFill>
                <a:srgbClr val="1F1F1F"/>
              </a:solidFill>
              <a:ln w="19050">
                <a:noFill/>
              </a:ln>
              <a:effectLst/>
            </c:spPr>
            <c:extLst>
              <c:ext xmlns:c16="http://schemas.microsoft.com/office/drawing/2014/chart" uri="{C3380CC4-5D6E-409C-BE32-E72D297353CC}">
                <c16:uniqueId val="{00000003-478A-4C55-A757-D9FBC5EAFBBA}"/>
              </c:ext>
            </c:extLst>
          </c:dPt>
          <c:val>
            <c:numRef>
              <c:f>'Pivot table'!$K$23:$L$23</c:f>
              <c:numCache>
                <c:formatCode>0%</c:formatCode>
                <c:ptCount val="2"/>
                <c:pt idx="0">
                  <c:v>0.48</c:v>
                </c:pt>
                <c:pt idx="1">
                  <c:v>0.52</c:v>
                </c:pt>
              </c:numCache>
            </c:numRef>
          </c:val>
          <c:extLst>
            <c:ext xmlns:c16="http://schemas.microsoft.com/office/drawing/2014/chart" uri="{C3380CC4-5D6E-409C-BE32-E72D297353CC}">
              <c16:uniqueId val="{00000004-478A-4C55-A757-D9FBC5EAFB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E45C-4B53-AF88-EA16CE3EB9CB}"/>
              </c:ext>
            </c:extLst>
          </c:dPt>
          <c:dPt>
            <c:idx val="1"/>
            <c:bubble3D val="0"/>
            <c:spPr>
              <a:solidFill>
                <a:srgbClr val="1F1F1F"/>
              </a:solidFill>
              <a:ln w="19050">
                <a:noFill/>
              </a:ln>
              <a:effectLst/>
            </c:spPr>
            <c:extLst>
              <c:ext xmlns:c16="http://schemas.microsoft.com/office/drawing/2014/chart" uri="{C3380CC4-5D6E-409C-BE32-E72D297353CC}">
                <c16:uniqueId val="{00000003-E45C-4B53-AF88-EA16CE3EB9CB}"/>
              </c:ext>
            </c:extLst>
          </c:dPt>
          <c:val>
            <c:numRef>
              <c:f>'Pivot table'!$K$22:$L$22</c:f>
              <c:numCache>
                <c:formatCode>0%</c:formatCode>
                <c:ptCount val="2"/>
                <c:pt idx="0">
                  <c:v>0.52</c:v>
                </c:pt>
                <c:pt idx="1">
                  <c:v>0.48</c:v>
                </c:pt>
              </c:numCache>
            </c:numRef>
          </c:val>
          <c:extLst>
            <c:ext xmlns:c16="http://schemas.microsoft.com/office/drawing/2014/chart" uri="{C3380CC4-5D6E-409C-BE32-E72D297353CC}">
              <c16:uniqueId val="{00000004-E45C-4B53-AF88-EA16CE3EB9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table'!$E$13</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table'!$G$13</c:f>
              <c:numCache>
                <c:formatCode>General</c:formatCode>
                <c:ptCount val="1"/>
                <c:pt idx="0">
                  <c:v>28</c:v>
                </c:pt>
              </c:numCache>
            </c:numRef>
          </c:val>
          <c:extLst>
            <c:ext xmlns:c16="http://schemas.microsoft.com/office/drawing/2014/chart" uri="{C3380CC4-5D6E-409C-BE32-E72D297353CC}">
              <c16:uniqueId val="{00000000-31D7-4F5D-9363-10F390089AD6}"/>
            </c:ext>
          </c:extLst>
        </c:ser>
        <c:ser>
          <c:idx val="1"/>
          <c:order val="1"/>
          <c:tx>
            <c:strRef>
              <c:f>'Pivot table'!$E$14</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table'!$G$14</c:f>
              <c:numCache>
                <c:formatCode>General</c:formatCode>
                <c:ptCount val="1"/>
                <c:pt idx="0">
                  <c:v>110</c:v>
                </c:pt>
              </c:numCache>
            </c:numRef>
          </c:val>
          <c:extLst>
            <c:ext xmlns:c16="http://schemas.microsoft.com/office/drawing/2014/chart" uri="{C3380CC4-5D6E-409C-BE32-E72D297353CC}">
              <c16:uniqueId val="{00000001-31D7-4F5D-9363-10F390089AD6}"/>
            </c:ext>
          </c:extLst>
        </c:ser>
        <c:ser>
          <c:idx val="2"/>
          <c:order val="2"/>
          <c:tx>
            <c:strRef>
              <c:f>'Pivot table'!$E$15</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table'!$G$15</c:f>
              <c:numCache>
                <c:formatCode>General</c:formatCode>
                <c:ptCount val="1"/>
                <c:pt idx="0">
                  <c:v>104</c:v>
                </c:pt>
              </c:numCache>
            </c:numRef>
          </c:val>
          <c:extLst>
            <c:ext xmlns:c16="http://schemas.microsoft.com/office/drawing/2014/chart" uri="{C3380CC4-5D6E-409C-BE32-E72D297353CC}">
              <c16:uniqueId val="{00000002-31D7-4F5D-9363-10F390089AD6}"/>
            </c:ext>
          </c:extLst>
        </c:ser>
        <c:ser>
          <c:idx val="3"/>
          <c:order val="3"/>
          <c:tx>
            <c:strRef>
              <c:f>'Pivot table'!$E$16</c:f>
              <c:strCache>
                <c:ptCount val="1"/>
                <c:pt idx="0">
                  <c:v>HR Specialist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table'!$G$16</c:f>
              <c:numCache>
                <c:formatCode>General</c:formatCode>
                <c:ptCount val="1"/>
                <c:pt idx="0">
                  <c:v>123</c:v>
                </c:pt>
              </c:numCache>
            </c:numRef>
          </c:val>
          <c:extLst>
            <c:ext xmlns:c16="http://schemas.microsoft.com/office/drawing/2014/chart" uri="{C3380CC4-5D6E-409C-BE32-E72D297353CC}">
              <c16:uniqueId val="{00000003-31D7-4F5D-9363-10F390089AD6}"/>
            </c:ext>
          </c:extLst>
        </c:ser>
        <c:ser>
          <c:idx val="4"/>
          <c:order val="4"/>
          <c:tx>
            <c:strRef>
              <c:f>'Pivot table'!$E$17</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table'!$G$17</c:f>
              <c:numCache>
                <c:formatCode>General</c:formatCode>
                <c:ptCount val="1"/>
                <c:pt idx="0">
                  <c:v>122</c:v>
                </c:pt>
              </c:numCache>
            </c:numRef>
          </c:val>
          <c:extLst>
            <c:ext xmlns:c16="http://schemas.microsoft.com/office/drawing/2014/chart" uri="{C3380CC4-5D6E-409C-BE32-E72D297353CC}">
              <c16:uniqueId val="{00000004-31D7-4F5D-9363-10F390089AD6}"/>
            </c:ext>
          </c:extLst>
        </c:ser>
        <c:dLbls>
          <c:dLblPos val="outEnd"/>
          <c:showLegendKey val="0"/>
          <c:showVal val="1"/>
          <c:showCatName val="0"/>
          <c:showSerName val="0"/>
          <c:showPercent val="0"/>
          <c:showBubbleSize val="0"/>
        </c:dLbls>
        <c:gapWidth val="219"/>
        <c:overlap val="-27"/>
        <c:axId val="1728618064"/>
        <c:axId val="1728635824"/>
      </c:barChart>
      <c:catAx>
        <c:axId val="1728618064"/>
        <c:scaling>
          <c:orientation val="minMax"/>
        </c:scaling>
        <c:delete val="1"/>
        <c:axPos val="b"/>
        <c:numFmt formatCode="General" sourceLinked="1"/>
        <c:majorTickMark val="none"/>
        <c:minorTickMark val="none"/>
        <c:tickLblPos val="nextTo"/>
        <c:crossAx val="1728635824"/>
        <c:crosses val="autoZero"/>
        <c:auto val="1"/>
        <c:lblAlgn val="ctr"/>
        <c:lblOffset val="100"/>
        <c:noMultiLvlLbl val="0"/>
      </c:catAx>
      <c:valAx>
        <c:axId val="1728635824"/>
        <c:scaling>
          <c:orientation val="minMax"/>
        </c:scaling>
        <c:delete val="1"/>
        <c:axPos val="l"/>
        <c:majorGridlines>
          <c:spPr>
            <a:ln w="9525" cap="rnd" cmpd="sng" algn="ctr">
              <a:solidFill>
                <a:srgbClr val="E5B244">
                  <a:alpha val="31000"/>
                </a:srgbClr>
              </a:solidFill>
              <a:prstDash val="dashDot"/>
              <a:round/>
            </a:ln>
            <a:effectLst/>
          </c:spPr>
        </c:majorGridlines>
        <c:numFmt formatCode="General" sourceLinked="1"/>
        <c:majorTickMark val="none"/>
        <c:minorTickMark val="none"/>
        <c:tickLblPos val="nextTo"/>
        <c:crossAx val="17286180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table!Regions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table'!$U$4</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table'!$T$5:$T$10</c:f>
              <c:strCache>
                <c:ptCount val="5"/>
                <c:pt idx="0">
                  <c:v>Central</c:v>
                </c:pt>
                <c:pt idx="1">
                  <c:v>East</c:v>
                </c:pt>
                <c:pt idx="2">
                  <c:v>North</c:v>
                </c:pt>
                <c:pt idx="3">
                  <c:v>South</c:v>
                </c:pt>
                <c:pt idx="4">
                  <c:v>West</c:v>
                </c:pt>
              </c:strCache>
            </c:strRef>
          </c:cat>
          <c:val>
            <c:numRef>
              <c:f>'Pivot table'!$U$5:$U$10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62E9-4A51-999E-A10D732FF5EC}"/>
            </c:ext>
          </c:extLst>
        </c:ser>
        <c:dLbls>
          <c:dLblPos val="outEnd"/>
          <c:showLegendKey val="0"/>
          <c:showVal val="1"/>
          <c:showCatName val="0"/>
          <c:showSerName val="0"/>
          <c:showPercent val="0"/>
          <c:showBubbleSize val="0"/>
        </c:dLbls>
        <c:gapWidth val="25"/>
        <c:axId val="923870607"/>
        <c:axId val="923872527"/>
      </c:barChart>
      <c:catAx>
        <c:axId val="92387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3872527"/>
        <c:crosses val="autoZero"/>
        <c:auto val="1"/>
        <c:lblAlgn val="ctr"/>
        <c:lblOffset val="100"/>
        <c:noMultiLvlLbl val="0"/>
      </c:catAx>
      <c:valAx>
        <c:axId val="923872527"/>
        <c:scaling>
          <c:orientation val="minMax"/>
        </c:scaling>
        <c:delete val="1"/>
        <c:axPos val="b"/>
        <c:numFmt formatCode="General" sourceLinked="1"/>
        <c:majorTickMark val="none"/>
        <c:minorTickMark val="none"/>
        <c:tickLblPos val="nextTo"/>
        <c:crossAx val="92387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37486</xdr:colOff>
      <xdr:row>0</xdr:row>
      <xdr:rowOff>78658</xdr:rowOff>
    </xdr:from>
    <xdr:to>
      <xdr:col>18</xdr:col>
      <xdr:colOff>30712</xdr:colOff>
      <xdr:row>36</xdr:row>
      <xdr:rowOff>110593</xdr:rowOff>
    </xdr:to>
    <xdr:sp macro="" textlink="">
      <xdr:nvSpPr>
        <xdr:cNvPr id="2" name="Rectangle: Rounded Corners 1">
          <a:extLst>
            <a:ext uri="{FF2B5EF4-FFF2-40B4-BE49-F238E27FC236}">
              <a16:creationId xmlns:a16="http://schemas.microsoft.com/office/drawing/2014/main" id="{D37D9D98-3742-5C54-6B3C-6B1DD9DAEEB2}"/>
            </a:ext>
          </a:extLst>
        </xdr:cNvPr>
        <xdr:cNvSpPr/>
      </xdr:nvSpPr>
      <xdr:spPr>
        <a:xfrm>
          <a:off x="266086" y="78658"/>
          <a:ext cx="10356426" cy="6432735"/>
        </a:xfrm>
        <a:prstGeom prst="roundRect">
          <a:avLst>
            <a:gd name="adj" fmla="val 3336"/>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92177</xdr:colOff>
      <xdr:row>21</xdr:row>
      <xdr:rowOff>174111</xdr:rowOff>
    </xdr:from>
    <xdr:to>
      <xdr:col>13</xdr:col>
      <xdr:colOff>82112</xdr:colOff>
      <xdr:row>35</xdr:row>
      <xdr:rowOff>76530</xdr:rowOff>
    </xdr:to>
    <xdr:sp macro="" textlink="">
      <xdr:nvSpPr>
        <xdr:cNvPr id="6" name="Rectangle: Rounded Corners 5">
          <a:extLst>
            <a:ext uri="{FF2B5EF4-FFF2-40B4-BE49-F238E27FC236}">
              <a16:creationId xmlns:a16="http://schemas.microsoft.com/office/drawing/2014/main" id="{60C5F6EB-846C-00AA-D953-6713DEC29D49}"/>
            </a:ext>
          </a:extLst>
        </xdr:cNvPr>
        <xdr:cNvSpPr/>
      </xdr:nvSpPr>
      <xdr:spPr>
        <a:xfrm>
          <a:off x="5622822" y="3830482"/>
          <a:ext cx="2448000" cy="234000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138575</xdr:colOff>
      <xdr:row>33</xdr:row>
      <xdr:rowOff>99828</xdr:rowOff>
    </xdr:from>
    <xdr:to>
      <xdr:col>12</xdr:col>
      <xdr:colOff>601591</xdr:colOff>
      <xdr:row>35</xdr:row>
      <xdr:rowOff>1751</xdr:rowOff>
    </xdr:to>
    <xdr:sp macro="" textlink="">
      <xdr:nvSpPr>
        <xdr:cNvPr id="48" name="Rectangle: Rounded Corners 47">
          <a:extLst>
            <a:ext uri="{FF2B5EF4-FFF2-40B4-BE49-F238E27FC236}">
              <a16:creationId xmlns:a16="http://schemas.microsoft.com/office/drawing/2014/main" id="{14BA74B5-BFD2-4662-0DA6-D301022EC4E0}"/>
            </a:ext>
          </a:extLst>
        </xdr:cNvPr>
        <xdr:cNvSpPr/>
      </xdr:nvSpPr>
      <xdr:spPr>
        <a:xfrm>
          <a:off x="6871105" y="5906635"/>
          <a:ext cx="1075064" cy="25385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11</xdr:col>
      <xdr:colOff>138575</xdr:colOff>
      <xdr:row>31</xdr:row>
      <xdr:rowOff>169474</xdr:rowOff>
    </xdr:from>
    <xdr:to>
      <xdr:col>12</xdr:col>
      <xdr:colOff>601591</xdr:colOff>
      <xdr:row>33</xdr:row>
      <xdr:rowOff>73248</xdr:rowOff>
    </xdr:to>
    <xdr:sp macro="" textlink="">
      <xdr:nvSpPr>
        <xdr:cNvPr id="59" name="Rectangle: Rounded Corners 58">
          <a:extLst>
            <a:ext uri="{FF2B5EF4-FFF2-40B4-BE49-F238E27FC236}">
              <a16:creationId xmlns:a16="http://schemas.microsoft.com/office/drawing/2014/main" id="{2BA5295B-761F-2B80-662E-B227313003FB}"/>
            </a:ext>
          </a:extLst>
        </xdr:cNvPr>
        <xdr:cNvSpPr/>
      </xdr:nvSpPr>
      <xdr:spPr>
        <a:xfrm>
          <a:off x="6871105" y="5624354"/>
          <a:ext cx="1075064" cy="25570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11</xdr:col>
      <xdr:colOff>138575</xdr:colOff>
      <xdr:row>30</xdr:row>
      <xdr:rowOff>65006</xdr:rowOff>
    </xdr:from>
    <xdr:to>
      <xdr:col>12</xdr:col>
      <xdr:colOff>601591</xdr:colOff>
      <xdr:row>31</xdr:row>
      <xdr:rowOff>142893</xdr:rowOff>
    </xdr:to>
    <xdr:sp macro="" textlink="">
      <xdr:nvSpPr>
        <xdr:cNvPr id="60" name="Rectangle: Rounded Corners 59">
          <a:extLst>
            <a:ext uri="{FF2B5EF4-FFF2-40B4-BE49-F238E27FC236}">
              <a16:creationId xmlns:a16="http://schemas.microsoft.com/office/drawing/2014/main" id="{2CE29B93-7643-F182-EBFE-E49C2F3E967A}"/>
            </a:ext>
          </a:extLst>
        </xdr:cNvPr>
        <xdr:cNvSpPr/>
      </xdr:nvSpPr>
      <xdr:spPr>
        <a:xfrm>
          <a:off x="6871105" y="5343922"/>
          <a:ext cx="1075064" cy="25385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11</xdr:col>
      <xdr:colOff>138575</xdr:colOff>
      <xdr:row>28</xdr:row>
      <xdr:rowOff>134651</xdr:rowOff>
    </xdr:from>
    <xdr:to>
      <xdr:col>12</xdr:col>
      <xdr:colOff>601591</xdr:colOff>
      <xdr:row>30</xdr:row>
      <xdr:rowOff>38425</xdr:rowOff>
    </xdr:to>
    <xdr:sp macro="" textlink="">
      <xdr:nvSpPr>
        <xdr:cNvPr id="61" name="Rectangle: Rounded Corners 60">
          <a:extLst>
            <a:ext uri="{FF2B5EF4-FFF2-40B4-BE49-F238E27FC236}">
              <a16:creationId xmlns:a16="http://schemas.microsoft.com/office/drawing/2014/main" id="{BF9CB3DB-7659-5898-6ACF-14EA52A6E118}"/>
            </a:ext>
          </a:extLst>
        </xdr:cNvPr>
        <xdr:cNvSpPr/>
      </xdr:nvSpPr>
      <xdr:spPr>
        <a:xfrm>
          <a:off x="6871105" y="5061639"/>
          <a:ext cx="1075064" cy="255702"/>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11</xdr:col>
      <xdr:colOff>138575</xdr:colOff>
      <xdr:row>27</xdr:row>
      <xdr:rowOff>30183</xdr:rowOff>
    </xdr:from>
    <xdr:to>
      <xdr:col>12</xdr:col>
      <xdr:colOff>601591</xdr:colOff>
      <xdr:row>28</xdr:row>
      <xdr:rowOff>108070</xdr:rowOff>
    </xdr:to>
    <xdr:sp macro="" textlink="">
      <xdr:nvSpPr>
        <xdr:cNvPr id="62" name="Rectangle: Rounded Corners 61">
          <a:extLst>
            <a:ext uri="{FF2B5EF4-FFF2-40B4-BE49-F238E27FC236}">
              <a16:creationId xmlns:a16="http://schemas.microsoft.com/office/drawing/2014/main" id="{50D41BB5-09D1-E073-D10A-D43DA7ABCCD2}"/>
            </a:ext>
          </a:extLst>
        </xdr:cNvPr>
        <xdr:cNvSpPr/>
      </xdr:nvSpPr>
      <xdr:spPr>
        <a:xfrm>
          <a:off x="6871105" y="4781207"/>
          <a:ext cx="1075064" cy="25385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11</xdr:col>
      <xdr:colOff>138575</xdr:colOff>
      <xdr:row>25</xdr:row>
      <xdr:rowOff>99827</xdr:rowOff>
    </xdr:from>
    <xdr:to>
      <xdr:col>12</xdr:col>
      <xdr:colOff>601591</xdr:colOff>
      <xdr:row>27</xdr:row>
      <xdr:rowOff>1751</xdr:rowOff>
    </xdr:to>
    <xdr:sp macro="" textlink="">
      <xdr:nvSpPr>
        <xdr:cNvPr id="63" name="Rectangle: Rounded Corners 62">
          <a:extLst>
            <a:ext uri="{FF2B5EF4-FFF2-40B4-BE49-F238E27FC236}">
              <a16:creationId xmlns:a16="http://schemas.microsoft.com/office/drawing/2014/main" id="{C96AFEBA-9F4F-FC6B-165C-BFB8F48EEDEC}"/>
            </a:ext>
          </a:extLst>
        </xdr:cNvPr>
        <xdr:cNvSpPr/>
      </xdr:nvSpPr>
      <xdr:spPr>
        <a:xfrm>
          <a:off x="6871105" y="4498923"/>
          <a:ext cx="1075064" cy="253852"/>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xdr:col>
      <xdr:colOff>194597</xdr:colOff>
      <xdr:row>25</xdr:row>
      <xdr:rowOff>27902</xdr:rowOff>
    </xdr:from>
    <xdr:to>
      <xdr:col>4</xdr:col>
      <xdr:colOff>259048</xdr:colOff>
      <xdr:row>35</xdr:row>
      <xdr:rowOff>86773</xdr:rowOff>
    </xdr:to>
    <xdr:sp macro="" textlink="">
      <xdr:nvSpPr>
        <xdr:cNvPr id="3" name="Rectangle: Rounded Corners 2">
          <a:extLst>
            <a:ext uri="{FF2B5EF4-FFF2-40B4-BE49-F238E27FC236}">
              <a16:creationId xmlns:a16="http://schemas.microsoft.com/office/drawing/2014/main" id="{EBE55607-08AB-5EDB-05C7-22ECF462A4F6}"/>
            </a:ext>
          </a:extLst>
        </xdr:cNvPr>
        <xdr:cNvSpPr/>
      </xdr:nvSpPr>
      <xdr:spPr>
        <a:xfrm>
          <a:off x="423197" y="4472902"/>
          <a:ext cx="1893251" cy="1836871"/>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184355</xdr:colOff>
      <xdr:row>7</xdr:row>
      <xdr:rowOff>92179</xdr:rowOff>
    </xdr:from>
    <xdr:to>
      <xdr:col>4</xdr:col>
      <xdr:colOff>248806</xdr:colOff>
      <xdr:row>24</xdr:row>
      <xdr:rowOff>120259</xdr:rowOff>
    </xdr:to>
    <xdr:sp macro="" textlink="">
      <xdr:nvSpPr>
        <xdr:cNvPr id="4" name="Rectangle: Rounded Corners 3">
          <a:extLst>
            <a:ext uri="{FF2B5EF4-FFF2-40B4-BE49-F238E27FC236}">
              <a16:creationId xmlns:a16="http://schemas.microsoft.com/office/drawing/2014/main" id="{572EE8F8-40EE-D17A-14F8-12FFBA162EE3}"/>
            </a:ext>
          </a:extLst>
        </xdr:cNvPr>
        <xdr:cNvSpPr/>
      </xdr:nvSpPr>
      <xdr:spPr>
        <a:xfrm>
          <a:off x="412304" y="1345897"/>
          <a:ext cx="1896181" cy="3072824"/>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481369</xdr:colOff>
      <xdr:row>22</xdr:row>
      <xdr:rowOff>30724</xdr:rowOff>
    </xdr:from>
    <xdr:to>
      <xdr:col>8</xdr:col>
      <xdr:colOff>471305</xdr:colOff>
      <xdr:row>35</xdr:row>
      <xdr:rowOff>107256</xdr:rowOff>
    </xdr:to>
    <xdr:sp macro="" textlink="">
      <xdr:nvSpPr>
        <xdr:cNvPr id="5" name="Rectangle: Rounded Corners 4">
          <a:extLst>
            <a:ext uri="{FF2B5EF4-FFF2-40B4-BE49-F238E27FC236}">
              <a16:creationId xmlns:a16="http://schemas.microsoft.com/office/drawing/2014/main" id="{C7AFDD13-B926-A242-3896-39ED2F9107DC}"/>
            </a:ext>
          </a:extLst>
        </xdr:cNvPr>
        <xdr:cNvSpPr/>
      </xdr:nvSpPr>
      <xdr:spPr>
        <a:xfrm>
          <a:off x="2531512" y="3922367"/>
          <a:ext cx="2421079" cy="2376139"/>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92177</xdr:colOff>
      <xdr:row>7</xdr:row>
      <xdr:rowOff>92179</xdr:rowOff>
    </xdr:from>
    <xdr:to>
      <xdr:col>13</xdr:col>
      <xdr:colOff>82112</xdr:colOff>
      <xdr:row>20</xdr:row>
      <xdr:rowOff>168711</xdr:rowOff>
    </xdr:to>
    <xdr:sp macro="" textlink="">
      <xdr:nvSpPr>
        <xdr:cNvPr id="7" name="Rectangle: Rounded Corners 6">
          <a:extLst>
            <a:ext uri="{FF2B5EF4-FFF2-40B4-BE49-F238E27FC236}">
              <a16:creationId xmlns:a16="http://schemas.microsoft.com/office/drawing/2014/main" id="{63DCE71E-6448-82E4-1708-69639348553E}"/>
            </a:ext>
          </a:extLst>
        </xdr:cNvPr>
        <xdr:cNvSpPr/>
      </xdr:nvSpPr>
      <xdr:spPr>
        <a:xfrm>
          <a:off x="5179005" y="1334867"/>
          <a:ext cx="2420688" cy="2384382"/>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481369</xdr:colOff>
      <xdr:row>7</xdr:row>
      <xdr:rowOff>112662</xdr:rowOff>
    </xdr:from>
    <xdr:to>
      <xdr:col>8</xdr:col>
      <xdr:colOff>471305</xdr:colOff>
      <xdr:row>14</xdr:row>
      <xdr:rowOff>81935</xdr:rowOff>
    </xdr:to>
    <xdr:sp macro="" textlink="">
      <xdr:nvSpPr>
        <xdr:cNvPr id="8" name="Rectangle: Rounded Corners 7">
          <a:extLst>
            <a:ext uri="{FF2B5EF4-FFF2-40B4-BE49-F238E27FC236}">
              <a16:creationId xmlns:a16="http://schemas.microsoft.com/office/drawing/2014/main" id="{49450BF3-567B-3468-6FB0-65450ACEEF6C}"/>
            </a:ext>
          </a:extLst>
        </xdr:cNvPr>
        <xdr:cNvSpPr/>
      </xdr:nvSpPr>
      <xdr:spPr>
        <a:xfrm>
          <a:off x="2550240" y="1331452"/>
          <a:ext cx="2448000" cy="1188064"/>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491610</xdr:colOff>
      <xdr:row>14</xdr:row>
      <xdr:rowOff>163871</xdr:rowOff>
    </xdr:from>
    <xdr:to>
      <xdr:col>6</xdr:col>
      <xdr:colOff>432578</xdr:colOff>
      <xdr:row>21</xdr:row>
      <xdr:rowOff>25081</xdr:rowOff>
    </xdr:to>
    <xdr:sp macro="" textlink="">
      <xdr:nvSpPr>
        <xdr:cNvPr id="9" name="Rectangle: Rounded Corners 8">
          <a:extLst>
            <a:ext uri="{FF2B5EF4-FFF2-40B4-BE49-F238E27FC236}">
              <a16:creationId xmlns:a16="http://schemas.microsoft.com/office/drawing/2014/main" id="{497AE7B5-58B5-057A-39EB-DCD9992250F5}"/>
            </a:ext>
          </a:extLst>
        </xdr:cNvPr>
        <xdr:cNvSpPr/>
      </xdr:nvSpPr>
      <xdr:spPr>
        <a:xfrm>
          <a:off x="2949675" y="2601452"/>
          <a:ext cx="1170000" cy="108000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532578</xdr:colOff>
      <xdr:row>14</xdr:row>
      <xdr:rowOff>153629</xdr:rowOff>
    </xdr:from>
    <xdr:to>
      <xdr:col>8</xdr:col>
      <xdr:colOff>473546</xdr:colOff>
      <xdr:row>21</xdr:row>
      <xdr:rowOff>14839</xdr:rowOff>
    </xdr:to>
    <xdr:sp macro="" textlink="">
      <xdr:nvSpPr>
        <xdr:cNvPr id="10" name="Rectangle: Rounded Corners 9">
          <a:extLst>
            <a:ext uri="{FF2B5EF4-FFF2-40B4-BE49-F238E27FC236}">
              <a16:creationId xmlns:a16="http://schemas.microsoft.com/office/drawing/2014/main" id="{810E78B1-5AB7-DB56-DDE6-F90682D6FBE6}"/>
            </a:ext>
          </a:extLst>
        </xdr:cNvPr>
        <xdr:cNvSpPr/>
      </xdr:nvSpPr>
      <xdr:spPr>
        <a:xfrm>
          <a:off x="4219675" y="2591210"/>
          <a:ext cx="1170000" cy="108000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307256</xdr:colOff>
      <xdr:row>22</xdr:row>
      <xdr:rowOff>51210</xdr:rowOff>
    </xdr:from>
    <xdr:to>
      <xdr:col>17</xdr:col>
      <xdr:colOff>389194</xdr:colOff>
      <xdr:row>35</xdr:row>
      <xdr:rowOff>86772</xdr:rowOff>
    </xdr:to>
    <xdr:grpSp>
      <xdr:nvGrpSpPr>
        <xdr:cNvPr id="21" name="Group 20">
          <a:extLst>
            <a:ext uri="{FF2B5EF4-FFF2-40B4-BE49-F238E27FC236}">
              <a16:creationId xmlns:a16="http://schemas.microsoft.com/office/drawing/2014/main" id="{538A1355-4523-2B18-26DA-D4176449601F}"/>
            </a:ext>
          </a:extLst>
        </xdr:cNvPr>
        <xdr:cNvGrpSpPr/>
      </xdr:nvGrpSpPr>
      <xdr:grpSpPr>
        <a:xfrm>
          <a:off x="7906436" y="3944489"/>
          <a:ext cx="2538660" cy="2336135"/>
          <a:chOff x="8295966" y="3697339"/>
          <a:chExt cx="2509275" cy="2483385"/>
        </a:xfrm>
      </xdr:grpSpPr>
      <xdr:sp macro="" textlink="">
        <xdr:nvSpPr>
          <xdr:cNvPr id="11" name="Rectangle: Rounded Corners 10">
            <a:extLst>
              <a:ext uri="{FF2B5EF4-FFF2-40B4-BE49-F238E27FC236}">
                <a16:creationId xmlns:a16="http://schemas.microsoft.com/office/drawing/2014/main" id="{EEFE7367-EAD7-F75F-8C17-8D10100C6736}"/>
              </a:ext>
            </a:extLst>
          </xdr:cNvPr>
          <xdr:cNvSpPr/>
        </xdr:nvSpPr>
        <xdr:spPr>
          <a:xfrm>
            <a:off x="8295966" y="5008159"/>
            <a:ext cx="1189488" cy="116155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8EDECBE2-6BA3-74FA-769E-49071CFCAE90}"/>
              </a:ext>
            </a:extLst>
          </xdr:cNvPr>
          <xdr:cNvSpPr/>
        </xdr:nvSpPr>
        <xdr:spPr>
          <a:xfrm>
            <a:off x="9615753" y="5019174"/>
            <a:ext cx="1189488" cy="116155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Rounded Corners 12">
            <a:extLst>
              <a:ext uri="{FF2B5EF4-FFF2-40B4-BE49-F238E27FC236}">
                <a16:creationId xmlns:a16="http://schemas.microsoft.com/office/drawing/2014/main" id="{0375199D-C06C-576F-EE44-830BF28EC43C}"/>
              </a:ext>
            </a:extLst>
          </xdr:cNvPr>
          <xdr:cNvSpPr/>
        </xdr:nvSpPr>
        <xdr:spPr>
          <a:xfrm>
            <a:off x="9604473" y="3697339"/>
            <a:ext cx="1189488" cy="116155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13</xdr:col>
      <xdr:colOff>294552</xdr:colOff>
      <xdr:row>11</xdr:row>
      <xdr:rowOff>40968</xdr:rowOff>
    </xdr:from>
    <xdr:to>
      <xdr:col>17</xdr:col>
      <xdr:colOff>378088</xdr:colOff>
      <xdr:row>20</xdr:row>
      <xdr:rowOff>93952</xdr:rowOff>
    </xdr:to>
    <xdr:sp macro="" textlink="">
      <xdr:nvSpPr>
        <xdr:cNvPr id="15" name="Rectangle: Rounded Corners 14">
          <a:extLst>
            <a:ext uri="{FF2B5EF4-FFF2-40B4-BE49-F238E27FC236}">
              <a16:creationId xmlns:a16="http://schemas.microsoft.com/office/drawing/2014/main" id="{1BFB9529-60B0-BD57-3FD9-50ACFFCF545E}"/>
            </a:ext>
          </a:extLst>
        </xdr:cNvPr>
        <xdr:cNvSpPr/>
      </xdr:nvSpPr>
      <xdr:spPr>
        <a:xfrm>
          <a:off x="7812133" y="1993764"/>
          <a:ext cx="2514288" cy="1650726"/>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304794</xdr:colOff>
      <xdr:row>1</xdr:row>
      <xdr:rowOff>95686</xdr:rowOff>
    </xdr:from>
    <xdr:to>
      <xdr:col>17</xdr:col>
      <xdr:colOff>388330</xdr:colOff>
      <xdr:row>10</xdr:row>
      <xdr:rowOff>42743</xdr:rowOff>
    </xdr:to>
    <xdr:sp macro="" textlink="">
      <xdr:nvSpPr>
        <xdr:cNvPr id="22" name="Rectangle: Rounded Corners 21">
          <a:extLst>
            <a:ext uri="{FF2B5EF4-FFF2-40B4-BE49-F238E27FC236}">
              <a16:creationId xmlns:a16="http://schemas.microsoft.com/office/drawing/2014/main" id="{4EDCF5DE-6B2C-0E73-1985-206927D9520B}"/>
            </a:ext>
          </a:extLst>
        </xdr:cNvPr>
        <xdr:cNvSpPr/>
      </xdr:nvSpPr>
      <xdr:spPr>
        <a:xfrm>
          <a:off x="7837808" y="269659"/>
          <a:ext cx="2519152" cy="1512810"/>
        </a:xfrm>
        <a:prstGeom prst="roundRect">
          <a:avLst>
            <a:gd name="adj" fmla="val 6425"/>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15</xdr:col>
      <xdr:colOff>399434</xdr:colOff>
      <xdr:row>22</xdr:row>
      <xdr:rowOff>61451</xdr:rowOff>
    </xdr:from>
    <xdr:ext cx="1126613" cy="609013"/>
    <xdr:sp macro="" textlink="">
      <xdr:nvSpPr>
        <xdr:cNvPr id="14" name="TextBox 13">
          <a:extLst>
            <a:ext uri="{FF2B5EF4-FFF2-40B4-BE49-F238E27FC236}">
              <a16:creationId xmlns:a16="http://schemas.microsoft.com/office/drawing/2014/main" id="{D1AAAECD-476E-0ECC-FB83-A3050ACF41F4}"/>
            </a:ext>
          </a:extLst>
        </xdr:cNvPr>
        <xdr:cNvSpPr txBox="1"/>
      </xdr:nvSpPr>
      <xdr:spPr>
        <a:xfrm>
          <a:off x="9617176" y="3891935"/>
          <a:ext cx="112661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latin typeface="Kulim Park"/>
            </a:rPr>
            <a:t>Part</a:t>
          </a:r>
        </a:p>
        <a:p>
          <a:r>
            <a:rPr lang="en-GB" sz="1100">
              <a:solidFill>
                <a:schemeClr val="bg1"/>
              </a:solidFill>
              <a:latin typeface="Kulim Park"/>
            </a:rPr>
            <a:t>time</a:t>
          </a:r>
        </a:p>
        <a:p>
          <a:r>
            <a:rPr lang="en-GB" sz="1100">
              <a:solidFill>
                <a:schemeClr val="bg1"/>
              </a:solidFill>
              <a:latin typeface="Kulim Park"/>
            </a:rPr>
            <a:t>employees</a:t>
          </a:r>
        </a:p>
      </xdr:txBody>
    </xdr:sp>
    <xdr:clientData/>
  </xdr:oneCellAnchor>
  <xdr:oneCellAnchor>
    <xdr:from>
      <xdr:col>16</xdr:col>
      <xdr:colOff>358467</xdr:colOff>
      <xdr:row>25</xdr:row>
      <xdr:rowOff>30726</xdr:rowOff>
    </xdr:from>
    <xdr:ext cx="600677" cy="598690"/>
    <xdr:sp macro="" textlink="'Pivot table'!C12">
      <xdr:nvSpPr>
        <xdr:cNvPr id="16" name="TextBox 15">
          <a:extLst>
            <a:ext uri="{FF2B5EF4-FFF2-40B4-BE49-F238E27FC236}">
              <a16:creationId xmlns:a16="http://schemas.microsoft.com/office/drawing/2014/main" id="{8FE8B0DF-0016-CE92-1434-04246678F8E6}"/>
            </a:ext>
          </a:extLst>
        </xdr:cNvPr>
        <xdr:cNvSpPr txBox="1"/>
      </xdr:nvSpPr>
      <xdr:spPr>
        <a:xfrm>
          <a:off x="9707829" y="4421683"/>
          <a:ext cx="600677"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7CE8D9-6335-4397-9995-8948B6A271C0}" type="TxLink">
            <a:rPr lang="en-US" sz="3200" b="1" i="0" u="none" strike="noStrike">
              <a:solidFill>
                <a:schemeClr val="bg1"/>
              </a:solidFill>
              <a:latin typeface="Aptos Narrow"/>
            </a:rPr>
            <a:pPr/>
            <a:t>13</a:t>
          </a:fld>
          <a:endParaRPr lang="en-GB" sz="3200" b="1">
            <a:solidFill>
              <a:schemeClr val="bg1"/>
            </a:solidFill>
            <a:latin typeface="Kulim Park"/>
          </a:endParaRPr>
        </a:p>
      </xdr:txBody>
    </xdr:sp>
    <xdr:clientData/>
  </xdr:oneCellAnchor>
  <xdr:oneCellAnchor>
    <xdr:from>
      <xdr:col>15</xdr:col>
      <xdr:colOff>409676</xdr:colOff>
      <xdr:row>29</xdr:row>
      <xdr:rowOff>71694</xdr:rowOff>
    </xdr:from>
    <xdr:ext cx="1126613" cy="609013"/>
    <xdr:sp macro="" textlink="">
      <xdr:nvSpPr>
        <xdr:cNvPr id="17" name="TextBox 16">
          <a:extLst>
            <a:ext uri="{FF2B5EF4-FFF2-40B4-BE49-F238E27FC236}">
              <a16:creationId xmlns:a16="http://schemas.microsoft.com/office/drawing/2014/main" id="{539C96E5-FBC3-0822-BF30-C5FF1F5CD035}"/>
            </a:ext>
          </a:extLst>
        </xdr:cNvPr>
        <xdr:cNvSpPr txBox="1"/>
      </xdr:nvSpPr>
      <xdr:spPr>
        <a:xfrm>
          <a:off x="9627418" y="5120968"/>
          <a:ext cx="112661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latin typeface="Kulim Park"/>
            </a:rPr>
            <a:t>Full</a:t>
          </a:r>
        </a:p>
        <a:p>
          <a:r>
            <a:rPr lang="en-GB" sz="1100">
              <a:solidFill>
                <a:schemeClr val="bg1"/>
              </a:solidFill>
              <a:latin typeface="Kulim Park"/>
            </a:rPr>
            <a:t>time</a:t>
          </a:r>
        </a:p>
        <a:p>
          <a:r>
            <a:rPr lang="en-GB" sz="1100">
              <a:solidFill>
                <a:schemeClr val="bg1"/>
              </a:solidFill>
              <a:latin typeface="Kulim Park"/>
            </a:rPr>
            <a:t>employees</a:t>
          </a:r>
        </a:p>
      </xdr:txBody>
    </xdr:sp>
    <xdr:clientData/>
  </xdr:oneCellAnchor>
  <xdr:oneCellAnchor>
    <xdr:from>
      <xdr:col>16</xdr:col>
      <xdr:colOff>368709</xdr:colOff>
      <xdr:row>32</xdr:row>
      <xdr:rowOff>30726</xdr:rowOff>
    </xdr:from>
    <xdr:ext cx="600677" cy="598690"/>
    <xdr:sp macro="" textlink="'Pivot table'!C11">
      <xdr:nvSpPr>
        <xdr:cNvPr id="18" name="TextBox 17">
          <a:extLst>
            <a:ext uri="{FF2B5EF4-FFF2-40B4-BE49-F238E27FC236}">
              <a16:creationId xmlns:a16="http://schemas.microsoft.com/office/drawing/2014/main" id="{ADE21545-CB53-84AA-D8E3-44531047C215}"/>
            </a:ext>
          </a:extLst>
        </xdr:cNvPr>
        <xdr:cNvSpPr txBox="1"/>
      </xdr:nvSpPr>
      <xdr:spPr>
        <a:xfrm>
          <a:off x="9741309" y="5720326"/>
          <a:ext cx="600677"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A9851EB-A9A6-4F3B-A8CC-3A463B1D4387}" type="TxLink">
            <a:rPr lang="en-US" sz="3200" b="1" i="0" u="none" strike="noStrike">
              <a:solidFill>
                <a:schemeClr val="bg1"/>
              </a:solidFill>
              <a:latin typeface="Aptos Narrow"/>
            </a:rPr>
            <a:pPr/>
            <a:t>20</a:t>
          </a:fld>
          <a:endParaRPr lang="en-GB" sz="3200" b="1">
            <a:solidFill>
              <a:schemeClr val="bg1"/>
            </a:solidFill>
            <a:latin typeface="Kulim Park"/>
          </a:endParaRPr>
        </a:p>
      </xdr:txBody>
    </xdr:sp>
    <xdr:clientData/>
  </xdr:oneCellAnchor>
  <xdr:oneCellAnchor>
    <xdr:from>
      <xdr:col>13</xdr:col>
      <xdr:colOff>317498</xdr:colOff>
      <xdr:row>29</xdr:row>
      <xdr:rowOff>51210</xdr:rowOff>
    </xdr:from>
    <xdr:ext cx="1126613" cy="609013"/>
    <xdr:sp macro="" textlink="">
      <xdr:nvSpPr>
        <xdr:cNvPr id="19" name="TextBox 18">
          <a:extLst>
            <a:ext uri="{FF2B5EF4-FFF2-40B4-BE49-F238E27FC236}">
              <a16:creationId xmlns:a16="http://schemas.microsoft.com/office/drawing/2014/main" id="{0F5F8613-ED8E-89FB-0017-0E37708715C2}"/>
            </a:ext>
          </a:extLst>
        </xdr:cNvPr>
        <xdr:cNvSpPr txBox="1"/>
      </xdr:nvSpPr>
      <xdr:spPr>
        <a:xfrm>
          <a:off x="8306208" y="5100484"/>
          <a:ext cx="112661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latin typeface="Kulim Park"/>
            </a:rPr>
            <a:t>Employees</a:t>
          </a:r>
        </a:p>
        <a:p>
          <a:r>
            <a:rPr lang="en-GB" sz="1100">
              <a:solidFill>
                <a:schemeClr val="bg1"/>
              </a:solidFill>
              <a:latin typeface="Kulim Park"/>
            </a:rPr>
            <a:t>with</a:t>
          </a:r>
        </a:p>
        <a:p>
          <a:r>
            <a:rPr lang="en-GB" sz="1100">
              <a:solidFill>
                <a:schemeClr val="bg1"/>
              </a:solidFill>
              <a:latin typeface="Kulim Park"/>
            </a:rPr>
            <a:t>contracts</a:t>
          </a:r>
        </a:p>
      </xdr:txBody>
    </xdr:sp>
    <xdr:clientData/>
  </xdr:oneCellAnchor>
  <xdr:oneCellAnchor>
    <xdr:from>
      <xdr:col>14</xdr:col>
      <xdr:colOff>266289</xdr:colOff>
      <xdr:row>32</xdr:row>
      <xdr:rowOff>20485</xdr:rowOff>
    </xdr:from>
    <xdr:ext cx="600677" cy="593304"/>
    <xdr:sp macro="" textlink="'Pivot table'!C10">
      <xdr:nvSpPr>
        <xdr:cNvPr id="20" name="TextBox 19">
          <a:extLst>
            <a:ext uri="{FF2B5EF4-FFF2-40B4-BE49-F238E27FC236}">
              <a16:creationId xmlns:a16="http://schemas.microsoft.com/office/drawing/2014/main" id="{83C18E6A-309E-6B8D-4FB4-5F407F521024}"/>
            </a:ext>
          </a:extLst>
        </xdr:cNvPr>
        <xdr:cNvSpPr txBox="1"/>
      </xdr:nvSpPr>
      <xdr:spPr>
        <a:xfrm>
          <a:off x="8419689" y="5710085"/>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A9D865-4FC6-472F-8868-47C9494C5694}" type="TxLink">
            <a:rPr lang="en-US" sz="3200" b="1" i="0" u="none" strike="noStrike">
              <a:solidFill>
                <a:schemeClr val="bg1"/>
              </a:solidFill>
              <a:latin typeface="Kulim Park"/>
            </a:rPr>
            <a:pPr/>
            <a:t>17</a:t>
          </a:fld>
          <a:endParaRPr lang="en-GB" sz="3200" b="1">
            <a:solidFill>
              <a:schemeClr val="bg1"/>
            </a:solidFill>
            <a:latin typeface="Kulim Park"/>
          </a:endParaRPr>
        </a:p>
      </xdr:txBody>
    </xdr:sp>
    <xdr:clientData/>
  </xdr:oneCellAnchor>
  <xdr:twoCellAnchor>
    <xdr:from>
      <xdr:col>9</xdr:col>
      <xdr:colOff>184353</xdr:colOff>
      <xdr:row>25</xdr:row>
      <xdr:rowOff>137052</xdr:rowOff>
    </xdr:from>
    <xdr:to>
      <xdr:col>11</xdr:col>
      <xdr:colOff>81934</xdr:colOff>
      <xdr:row>27</xdr:row>
      <xdr:rowOff>53387</xdr:rowOff>
    </xdr:to>
    <xdr:sp macro="" textlink="">
      <xdr:nvSpPr>
        <xdr:cNvPr id="25" name="TextBox 24">
          <a:extLst>
            <a:ext uri="{FF2B5EF4-FFF2-40B4-BE49-F238E27FC236}">
              <a16:creationId xmlns:a16="http://schemas.microsoft.com/office/drawing/2014/main" id="{91489752-7D42-E605-3F11-B461F0232F31}"/>
            </a:ext>
          </a:extLst>
        </xdr:cNvPr>
        <xdr:cNvSpPr txBox="1"/>
      </xdr:nvSpPr>
      <xdr:spPr>
        <a:xfrm>
          <a:off x="5264353" y="4572714"/>
          <a:ext cx="1111552" cy="271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bg1"/>
              </a:solidFill>
              <a:latin typeface="Kulim Park"/>
            </a:rPr>
            <a:t>Total</a:t>
          </a:r>
          <a:r>
            <a:rPr lang="en-GB" sz="1100" b="1" baseline="0">
              <a:solidFill>
                <a:schemeClr val="bg1"/>
              </a:solidFill>
              <a:latin typeface="Kulim Park"/>
            </a:rPr>
            <a:t> salaries</a:t>
          </a:r>
          <a:endParaRPr lang="en-GB" sz="1100" b="1">
            <a:solidFill>
              <a:schemeClr val="bg1"/>
            </a:solidFill>
            <a:latin typeface="Kulim Park"/>
          </a:endParaRPr>
        </a:p>
      </xdr:txBody>
    </xdr:sp>
    <xdr:clientData/>
  </xdr:twoCellAnchor>
  <xdr:twoCellAnchor>
    <xdr:from>
      <xdr:col>9</xdr:col>
      <xdr:colOff>184353</xdr:colOff>
      <xdr:row>27</xdr:row>
      <xdr:rowOff>53069</xdr:rowOff>
    </xdr:from>
    <xdr:to>
      <xdr:col>11</xdr:col>
      <xdr:colOff>81934</xdr:colOff>
      <xdr:row>28</xdr:row>
      <xdr:rowOff>143516</xdr:rowOff>
    </xdr:to>
    <xdr:sp macro="" textlink="">
      <xdr:nvSpPr>
        <xdr:cNvPr id="26" name="TextBox 25">
          <a:extLst>
            <a:ext uri="{FF2B5EF4-FFF2-40B4-BE49-F238E27FC236}">
              <a16:creationId xmlns:a16="http://schemas.microsoft.com/office/drawing/2014/main" id="{1B572DDC-B42B-AC40-1D17-4AC8C9F8BDB6}"/>
            </a:ext>
          </a:extLst>
        </xdr:cNvPr>
        <xdr:cNvSpPr txBox="1"/>
      </xdr:nvSpPr>
      <xdr:spPr>
        <a:xfrm>
          <a:off x="5714998" y="4754117"/>
          <a:ext cx="11266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Managers</a:t>
          </a:r>
        </a:p>
      </xdr:txBody>
    </xdr:sp>
    <xdr:clientData/>
  </xdr:twoCellAnchor>
  <xdr:twoCellAnchor>
    <xdr:from>
      <xdr:col>9</xdr:col>
      <xdr:colOff>184353</xdr:colOff>
      <xdr:row>28</xdr:row>
      <xdr:rowOff>143198</xdr:rowOff>
    </xdr:from>
    <xdr:to>
      <xdr:col>11</xdr:col>
      <xdr:colOff>81934</xdr:colOff>
      <xdr:row>30</xdr:row>
      <xdr:rowOff>59532</xdr:rowOff>
    </xdr:to>
    <xdr:sp macro="" textlink="">
      <xdr:nvSpPr>
        <xdr:cNvPr id="27" name="TextBox 26">
          <a:extLst>
            <a:ext uri="{FF2B5EF4-FFF2-40B4-BE49-F238E27FC236}">
              <a16:creationId xmlns:a16="http://schemas.microsoft.com/office/drawing/2014/main" id="{7E7FEAB3-154B-E828-0D04-27EA45596626}"/>
            </a:ext>
          </a:extLst>
        </xdr:cNvPr>
        <xdr:cNvSpPr txBox="1"/>
      </xdr:nvSpPr>
      <xdr:spPr>
        <a:xfrm>
          <a:off x="5714998" y="5018359"/>
          <a:ext cx="11266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HR</a:t>
          </a:r>
          <a:r>
            <a:rPr lang="en-GB" sz="1100" baseline="0">
              <a:solidFill>
                <a:schemeClr val="bg1"/>
              </a:solidFill>
              <a:latin typeface="Kulim Park"/>
            </a:rPr>
            <a:t> specialists</a:t>
          </a:r>
          <a:endParaRPr lang="en-GB" sz="1100">
            <a:solidFill>
              <a:schemeClr val="bg1"/>
            </a:solidFill>
            <a:latin typeface="Kulim Park"/>
          </a:endParaRPr>
        </a:p>
      </xdr:txBody>
    </xdr:sp>
    <xdr:clientData/>
  </xdr:twoCellAnchor>
  <xdr:twoCellAnchor>
    <xdr:from>
      <xdr:col>9</xdr:col>
      <xdr:colOff>184353</xdr:colOff>
      <xdr:row>30</xdr:row>
      <xdr:rowOff>59214</xdr:rowOff>
    </xdr:from>
    <xdr:to>
      <xdr:col>11</xdr:col>
      <xdr:colOff>81934</xdr:colOff>
      <xdr:row>31</xdr:row>
      <xdr:rowOff>149661</xdr:rowOff>
    </xdr:to>
    <xdr:sp macro="" textlink="">
      <xdr:nvSpPr>
        <xdr:cNvPr id="28" name="TextBox 27">
          <a:extLst>
            <a:ext uri="{FF2B5EF4-FFF2-40B4-BE49-F238E27FC236}">
              <a16:creationId xmlns:a16="http://schemas.microsoft.com/office/drawing/2014/main" id="{3B09C2F6-431B-D4E3-CD67-5E45084F0EEB}"/>
            </a:ext>
          </a:extLst>
        </xdr:cNvPr>
        <xdr:cNvSpPr txBox="1"/>
      </xdr:nvSpPr>
      <xdr:spPr>
        <a:xfrm>
          <a:off x="5714998" y="5282601"/>
          <a:ext cx="11266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Developers</a:t>
          </a:r>
        </a:p>
      </xdr:txBody>
    </xdr:sp>
    <xdr:clientData/>
  </xdr:twoCellAnchor>
  <xdr:twoCellAnchor>
    <xdr:from>
      <xdr:col>9</xdr:col>
      <xdr:colOff>184353</xdr:colOff>
      <xdr:row>31</xdr:row>
      <xdr:rowOff>149343</xdr:rowOff>
    </xdr:from>
    <xdr:to>
      <xdr:col>11</xdr:col>
      <xdr:colOff>81934</xdr:colOff>
      <xdr:row>33</xdr:row>
      <xdr:rowOff>65677</xdr:rowOff>
    </xdr:to>
    <xdr:sp macro="" textlink="">
      <xdr:nvSpPr>
        <xdr:cNvPr id="31" name="TextBox 30">
          <a:extLst>
            <a:ext uri="{FF2B5EF4-FFF2-40B4-BE49-F238E27FC236}">
              <a16:creationId xmlns:a16="http://schemas.microsoft.com/office/drawing/2014/main" id="{187D6E67-BFB2-F5C1-DFCF-FB1CFDB7F91A}"/>
            </a:ext>
          </a:extLst>
        </xdr:cNvPr>
        <xdr:cNvSpPr txBox="1"/>
      </xdr:nvSpPr>
      <xdr:spPr>
        <a:xfrm>
          <a:off x="5714998" y="5546843"/>
          <a:ext cx="11266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Designers</a:t>
          </a:r>
        </a:p>
      </xdr:txBody>
    </xdr:sp>
    <xdr:clientData/>
  </xdr:twoCellAnchor>
  <xdr:twoCellAnchor>
    <xdr:from>
      <xdr:col>9</xdr:col>
      <xdr:colOff>184353</xdr:colOff>
      <xdr:row>33</xdr:row>
      <xdr:rowOff>51210</xdr:rowOff>
    </xdr:from>
    <xdr:to>
      <xdr:col>11</xdr:col>
      <xdr:colOff>81934</xdr:colOff>
      <xdr:row>34</xdr:row>
      <xdr:rowOff>162140</xdr:rowOff>
    </xdr:to>
    <xdr:sp macro="" textlink="">
      <xdr:nvSpPr>
        <xdr:cNvPr id="32" name="TextBox 31">
          <a:extLst>
            <a:ext uri="{FF2B5EF4-FFF2-40B4-BE49-F238E27FC236}">
              <a16:creationId xmlns:a16="http://schemas.microsoft.com/office/drawing/2014/main" id="{7B2D3400-5DA4-7D62-4629-280275318073}"/>
            </a:ext>
          </a:extLst>
        </xdr:cNvPr>
        <xdr:cNvSpPr txBox="1"/>
      </xdr:nvSpPr>
      <xdr:spPr>
        <a:xfrm>
          <a:off x="5714998" y="5796936"/>
          <a:ext cx="1126613" cy="285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Analyst</a:t>
          </a:r>
        </a:p>
        <a:p>
          <a:endParaRPr lang="en-GB" sz="1100">
            <a:solidFill>
              <a:schemeClr val="bg1"/>
            </a:solidFill>
            <a:latin typeface="Kulim Park"/>
          </a:endParaRPr>
        </a:p>
      </xdr:txBody>
    </xdr:sp>
    <xdr:clientData/>
  </xdr:twoCellAnchor>
  <xdr:twoCellAnchor>
    <xdr:from>
      <xdr:col>10</xdr:col>
      <xdr:colOff>399438</xdr:colOff>
      <xdr:row>25</xdr:row>
      <xdr:rowOff>96167</xdr:rowOff>
    </xdr:from>
    <xdr:to>
      <xdr:col>13</xdr:col>
      <xdr:colOff>20485</xdr:colOff>
      <xdr:row>27</xdr:row>
      <xdr:rowOff>61810</xdr:rowOff>
    </xdr:to>
    <xdr:sp macro="" textlink="'Pivot table'!F18">
      <xdr:nvSpPr>
        <xdr:cNvPr id="36" name="TextBox 35">
          <a:extLst>
            <a:ext uri="{FF2B5EF4-FFF2-40B4-BE49-F238E27FC236}">
              <a16:creationId xmlns:a16="http://schemas.microsoft.com/office/drawing/2014/main" id="{73D0B3E1-9374-7112-55BC-A7D3D9941109}"/>
            </a:ext>
          </a:extLst>
        </xdr:cNvPr>
        <xdr:cNvSpPr txBox="1"/>
      </xdr:nvSpPr>
      <xdr:spPr>
        <a:xfrm>
          <a:off x="6137390" y="4495263"/>
          <a:ext cx="1457191" cy="317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22454953-C636-4C14-B98B-A23E6B92DAFF}" type="TxLink">
            <a:rPr lang="en-US" sz="1400" b="1" i="0" u="none" strike="noStrike">
              <a:solidFill>
                <a:srgbClr val="1F1F1F"/>
              </a:solidFill>
              <a:latin typeface="Aptos Narrow"/>
            </a:rPr>
            <a:pPr algn="r"/>
            <a:t> 3,104,913 </a:t>
          </a:fld>
          <a:endParaRPr lang="en-GB" sz="1400" b="1">
            <a:solidFill>
              <a:srgbClr val="1F1F1F"/>
            </a:solidFill>
            <a:latin typeface="Kulim Park"/>
          </a:endParaRPr>
        </a:p>
      </xdr:txBody>
    </xdr:sp>
    <xdr:clientData/>
  </xdr:twoCellAnchor>
  <xdr:twoCellAnchor>
    <xdr:from>
      <xdr:col>10</xdr:col>
      <xdr:colOff>399437</xdr:colOff>
      <xdr:row>27</xdr:row>
      <xdr:rowOff>27485</xdr:rowOff>
    </xdr:from>
    <xdr:to>
      <xdr:col>13</xdr:col>
      <xdr:colOff>20484</xdr:colOff>
      <xdr:row>28</xdr:row>
      <xdr:rowOff>167240</xdr:rowOff>
    </xdr:to>
    <xdr:sp macro="" textlink="'Pivot table'!F17">
      <xdr:nvSpPr>
        <xdr:cNvPr id="37" name="TextBox 36">
          <a:extLst>
            <a:ext uri="{FF2B5EF4-FFF2-40B4-BE49-F238E27FC236}">
              <a16:creationId xmlns:a16="http://schemas.microsoft.com/office/drawing/2014/main" id="{B6D94B79-7C2C-6D34-E1D6-AE901F322209}"/>
            </a:ext>
          </a:extLst>
        </xdr:cNvPr>
        <xdr:cNvSpPr txBox="1"/>
      </xdr:nvSpPr>
      <xdr:spPr>
        <a:xfrm>
          <a:off x="6544598" y="4728533"/>
          <a:ext cx="1464596"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AA76A2DF-7F94-4B85-8B94-70E9B7D238A8}" type="TxLink">
            <a:rPr lang="en-US" sz="1400" b="0" i="0" u="none" strike="noStrike">
              <a:solidFill>
                <a:schemeClr val="bg1"/>
              </a:solidFill>
              <a:latin typeface="Aptos Narrow"/>
            </a:rPr>
            <a:pPr algn="r"/>
            <a:t> 731,170 </a:t>
          </a:fld>
          <a:endParaRPr lang="en-GB" sz="1400">
            <a:solidFill>
              <a:schemeClr val="bg1"/>
            </a:solidFill>
            <a:latin typeface="Kulim Park"/>
          </a:endParaRPr>
        </a:p>
      </xdr:txBody>
    </xdr:sp>
    <xdr:clientData/>
  </xdr:twoCellAnchor>
  <xdr:twoCellAnchor>
    <xdr:from>
      <xdr:col>10</xdr:col>
      <xdr:colOff>399437</xdr:colOff>
      <xdr:row>28</xdr:row>
      <xdr:rowOff>117614</xdr:rowOff>
    </xdr:from>
    <xdr:to>
      <xdr:col>13</xdr:col>
      <xdr:colOff>20484</xdr:colOff>
      <xdr:row>30</xdr:row>
      <xdr:rowOff>83256</xdr:rowOff>
    </xdr:to>
    <xdr:sp macro="" textlink="'Pivot table'!F16">
      <xdr:nvSpPr>
        <xdr:cNvPr id="38" name="TextBox 37">
          <a:extLst>
            <a:ext uri="{FF2B5EF4-FFF2-40B4-BE49-F238E27FC236}">
              <a16:creationId xmlns:a16="http://schemas.microsoft.com/office/drawing/2014/main" id="{B632D387-A431-D977-A75D-1177E416CABF}"/>
            </a:ext>
          </a:extLst>
        </xdr:cNvPr>
        <xdr:cNvSpPr txBox="1"/>
      </xdr:nvSpPr>
      <xdr:spPr>
        <a:xfrm>
          <a:off x="6544598" y="4992775"/>
          <a:ext cx="1464596"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43AB0985-9D54-4AED-9E38-8DF25505F449}" type="TxLink">
            <a:rPr lang="en-US" sz="1400" b="0" i="0" u="none" strike="noStrike">
              <a:solidFill>
                <a:schemeClr val="bg1"/>
              </a:solidFill>
              <a:latin typeface="Aptos Narrow"/>
            </a:rPr>
            <a:pPr algn="r"/>
            <a:t> 959,266 </a:t>
          </a:fld>
          <a:endParaRPr lang="en-GB" sz="1400">
            <a:solidFill>
              <a:schemeClr val="bg1"/>
            </a:solidFill>
            <a:latin typeface="Kulim Park"/>
          </a:endParaRPr>
        </a:p>
      </xdr:txBody>
    </xdr:sp>
    <xdr:clientData/>
  </xdr:twoCellAnchor>
  <xdr:twoCellAnchor>
    <xdr:from>
      <xdr:col>10</xdr:col>
      <xdr:colOff>399437</xdr:colOff>
      <xdr:row>30</xdr:row>
      <xdr:rowOff>33630</xdr:rowOff>
    </xdr:from>
    <xdr:to>
      <xdr:col>13</xdr:col>
      <xdr:colOff>20484</xdr:colOff>
      <xdr:row>31</xdr:row>
      <xdr:rowOff>173385</xdr:rowOff>
    </xdr:to>
    <xdr:sp macro="" textlink="'Pivot table'!F15">
      <xdr:nvSpPr>
        <xdr:cNvPr id="39" name="TextBox 38">
          <a:extLst>
            <a:ext uri="{FF2B5EF4-FFF2-40B4-BE49-F238E27FC236}">
              <a16:creationId xmlns:a16="http://schemas.microsoft.com/office/drawing/2014/main" id="{1ADE999A-2C74-2E10-39B5-D95D38FBF1CB}"/>
            </a:ext>
          </a:extLst>
        </xdr:cNvPr>
        <xdr:cNvSpPr txBox="1"/>
      </xdr:nvSpPr>
      <xdr:spPr>
        <a:xfrm>
          <a:off x="6544598" y="5257017"/>
          <a:ext cx="1464596"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4B38EAA5-B687-4289-8AC6-9F0A42426EC1}" type="TxLink">
            <a:rPr lang="en-US" sz="1400" b="0" i="0" u="none" strike="noStrike">
              <a:solidFill>
                <a:schemeClr val="bg1"/>
              </a:solidFill>
              <a:latin typeface="Aptos Narrow"/>
            </a:rPr>
            <a:pPr algn="r"/>
            <a:t> 633,594 </a:t>
          </a:fld>
          <a:endParaRPr lang="en-GB" sz="1400">
            <a:solidFill>
              <a:schemeClr val="bg1"/>
            </a:solidFill>
            <a:latin typeface="Kulim Park"/>
          </a:endParaRPr>
        </a:p>
      </xdr:txBody>
    </xdr:sp>
    <xdr:clientData/>
  </xdr:twoCellAnchor>
  <xdr:twoCellAnchor>
    <xdr:from>
      <xdr:col>10</xdr:col>
      <xdr:colOff>399437</xdr:colOff>
      <xdr:row>31</xdr:row>
      <xdr:rowOff>123759</xdr:rowOff>
    </xdr:from>
    <xdr:to>
      <xdr:col>13</xdr:col>
      <xdr:colOff>20484</xdr:colOff>
      <xdr:row>33</xdr:row>
      <xdr:rowOff>89401</xdr:rowOff>
    </xdr:to>
    <xdr:sp macro="" textlink="'Pivot table'!F14">
      <xdr:nvSpPr>
        <xdr:cNvPr id="40" name="TextBox 39">
          <a:extLst>
            <a:ext uri="{FF2B5EF4-FFF2-40B4-BE49-F238E27FC236}">
              <a16:creationId xmlns:a16="http://schemas.microsoft.com/office/drawing/2014/main" id="{B9B4199D-49B3-3C46-6127-638775579F0F}"/>
            </a:ext>
          </a:extLst>
        </xdr:cNvPr>
        <xdr:cNvSpPr txBox="1"/>
      </xdr:nvSpPr>
      <xdr:spPr>
        <a:xfrm>
          <a:off x="6544598" y="5521259"/>
          <a:ext cx="1464596" cy="3138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566B26E2-EDCB-49B4-BF99-6099ED8B67CC}" type="TxLink">
            <a:rPr lang="en-US" sz="1400" b="0" i="0" u="none" strike="noStrike">
              <a:solidFill>
                <a:schemeClr val="bg1"/>
              </a:solidFill>
              <a:latin typeface="Aptos Narrow"/>
            </a:rPr>
            <a:pPr algn="r"/>
            <a:t> 613,842 </a:t>
          </a:fld>
          <a:endParaRPr lang="en-GB" sz="1400">
            <a:solidFill>
              <a:schemeClr val="bg1"/>
            </a:solidFill>
            <a:latin typeface="Kulim Park"/>
          </a:endParaRPr>
        </a:p>
      </xdr:txBody>
    </xdr:sp>
    <xdr:clientData/>
  </xdr:twoCellAnchor>
  <xdr:twoCellAnchor>
    <xdr:from>
      <xdr:col>10</xdr:col>
      <xdr:colOff>399437</xdr:colOff>
      <xdr:row>33</xdr:row>
      <xdr:rowOff>64453</xdr:rowOff>
    </xdr:from>
    <xdr:to>
      <xdr:col>13</xdr:col>
      <xdr:colOff>20484</xdr:colOff>
      <xdr:row>34</xdr:row>
      <xdr:rowOff>162140</xdr:rowOff>
    </xdr:to>
    <xdr:sp macro="" textlink="'Pivot table'!F13">
      <xdr:nvSpPr>
        <xdr:cNvPr id="41" name="TextBox 40">
          <a:extLst>
            <a:ext uri="{FF2B5EF4-FFF2-40B4-BE49-F238E27FC236}">
              <a16:creationId xmlns:a16="http://schemas.microsoft.com/office/drawing/2014/main" id="{99A94F93-99C7-2157-3CFE-9ED9942D8576}"/>
            </a:ext>
          </a:extLst>
        </xdr:cNvPr>
        <xdr:cNvSpPr txBox="1"/>
      </xdr:nvSpPr>
      <xdr:spPr>
        <a:xfrm>
          <a:off x="6544598" y="5810179"/>
          <a:ext cx="1464596" cy="27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974E0FD1-BB64-4811-AF9E-FC3A4254B62A}" type="TxLink">
            <a:rPr lang="en-US" sz="1400" b="0" i="0" u="none" strike="noStrike">
              <a:solidFill>
                <a:schemeClr val="bg1"/>
              </a:solidFill>
              <a:latin typeface="Aptos Narrow"/>
            </a:rPr>
            <a:pPr algn="r"/>
            <a:t> 167,041 </a:t>
          </a:fld>
          <a:endParaRPr lang="en-GB" sz="1400">
            <a:solidFill>
              <a:schemeClr val="bg1"/>
            </a:solidFill>
            <a:latin typeface="Kulim Park"/>
          </a:endParaRPr>
        </a:p>
      </xdr:txBody>
    </xdr:sp>
    <xdr:clientData/>
  </xdr:twoCellAnchor>
  <xdr:twoCellAnchor>
    <xdr:from>
      <xdr:col>9</xdr:col>
      <xdr:colOff>184353</xdr:colOff>
      <xdr:row>22</xdr:row>
      <xdr:rowOff>68196</xdr:rowOff>
    </xdr:from>
    <xdr:to>
      <xdr:col>11</xdr:col>
      <xdr:colOff>81934</xdr:colOff>
      <xdr:row>23</xdr:row>
      <xdr:rowOff>160495</xdr:rowOff>
    </xdr:to>
    <xdr:sp macro="" textlink="">
      <xdr:nvSpPr>
        <xdr:cNvPr id="35" name="TextBox 34">
          <a:extLst>
            <a:ext uri="{FF2B5EF4-FFF2-40B4-BE49-F238E27FC236}">
              <a16:creationId xmlns:a16="http://schemas.microsoft.com/office/drawing/2014/main" id="{2A56146D-B4F8-1727-02F8-1C1D17804D86}"/>
            </a:ext>
          </a:extLst>
        </xdr:cNvPr>
        <xdr:cNvSpPr txBox="1"/>
      </xdr:nvSpPr>
      <xdr:spPr>
        <a:xfrm>
          <a:off x="5316039" y="3966801"/>
          <a:ext cx="1123279" cy="2695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Salaries</a:t>
          </a:r>
          <a:endParaRPr lang="en-GB" sz="1100" b="1">
            <a:solidFill>
              <a:srgbClr val="E5B244"/>
            </a:solidFill>
            <a:latin typeface="Kulim Park"/>
          </a:endParaRPr>
        </a:p>
      </xdr:txBody>
    </xdr:sp>
    <xdr:clientData/>
  </xdr:twoCellAnchor>
  <xdr:twoCellAnchor>
    <xdr:from>
      <xdr:col>9</xdr:col>
      <xdr:colOff>192003</xdr:colOff>
      <xdr:row>23</xdr:row>
      <xdr:rowOff>99457</xdr:rowOff>
    </xdr:from>
    <xdr:to>
      <xdr:col>12</xdr:col>
      <xdr:colOff>489638</xdr:colOff>
      <xdr:row>25</xdr:row>
      <xdr:rowOff>7484</xdr:rowOff>
    </xdr:to>
    <xdr:sp macro="" textlink="">
      <xdr:nvSpPr>
        <xdr:cNvPr id="46" name="TextBox 45">
          <a:extLst>
            <a:ext uri="{FF2B5EF4-FFF2-40B4-BE49-F238E27FC236}">
              <a16:creationId xmlns:a16="http://schemas.microsoft.com/office/drawing/2014/main" id="{AE164542-2307-4364-FF8F-F3151A6C7D4E}"/>
            </a:ext>
          </a:extLst>
        </xdr:cNvPr>
        <xdr:cNvSpPr txBox="1"/>
      </xdr:nvSpPr>
      <xdr:spPr>
        <a:xfrm>
          <a:off x="5323689" y="4175271"/>
          <a:ext cx="2136182" cy="262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Salary amount by job titles</a:t>
          </a:r>
          <a:endParaRPr lang="en-GB" sz="900" b="0">
            <a:solidFill>
              <a:schemeClr val="tx1">
                <a:lumMod val="50000"/>
                <a:lumOff val="50000"/>
              </a:schemeClr>
            </a:solidFill>
            <a:latin typeface="Kulim Park"/>
          </a:endParaRPr>
        </a:p>
      </xdr:txBody>
    </xdr:sp>
    <xdr:clientData/>
  </xdr:twoCellAnchor>
  <xdr:twoCellAnchor>
    <xdr:from>
      <xdr:col>13</xdr:col>
      <xdr:colOff>307181</xdr:colOff>
      <xdr:row>20</xdr:row>
      <xdr:rowOff>123328</xdr:rowOff>
    </xdr:from>
    <xdr:to>
      <xdr:col>18</xdr:col>
      <xdr:colOff>160494</xdr:colOff>
      <xdr:row>22</xdr:row>
      <xdr:rowOff>111648</xdr:rowOff>
    </xdr:to>
    <xdr:sp macro="" textlink="">
      <xdr:nvSpPr>
        <xdr:cNvPr id="47" name="TextBox 46">
          <a:extLst>
            <a:ext uri="{FF2B5EF4-FFF2-40B4-BE49-F238E27FC236}">
              <a16:creationId xmlns:a16="http://schemas.microsoft.com/office/drawing/2014/main" id="{3B93DCF0-04F9-EF8B-4D96-A6DFF7F407E7}"/>
            </a:ext>
          </a:extLst>
        </xdr:cNvPr>
        <xdr:cNvSpPr txBox="1"/>
      </xdr:nvSpPr>
      <xdr:spPr>
        <a:xfrm>
          <a:off x="7822511" y="3612339"/>
          <a:ext cx="2888752" cy="337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a:solidFill>
                <a:srgbClr val="E5B244"/>
              </a:solidFill>
              <a:latin typeface="Kulim Park"/>
            </a:rPr>
            <a:t>Employment Status BreakDown</a:t>
          </a:r>
        </a:p>
      </xdr:txBody>
    </xdr:sp>
    <xdr:clientData/>
  </xdr:twoCellAnchor>
  <xdr:twoCellAnchor>
    <xdr:from>
      <xdr:col>13</xdr:col>
      <xdr:colOff>249720</xdr:colOff>
      <xdr:row>22</xdr:row>
      <xdr:rowOff>0</xdr:rowOff>
    </xdr:from>
    <xdr:to>
      <xdr:col>15</xdr:col>
      <xdr:colOff>344407</xdr:colOff>
      <xdr:row>28</xdr:row>
      <xdr:rowOff>166469</xdr:rowOff>
    </xdr:to>
    <xdr:graphicFrame macro="">
      <xdr:nvGraphicFramePr>
        <xdr:cNvPr id="49" name="Chart 48">
          <a:extLst>
            <a:ext uri="{FF2B5EF4-FFF2-40B4-BE49-F238E27FC236}">
              <a16:creationId xmlns:a16="http://schemas.microsoft.com/office/drawing/2014/main" id="{2B32FC00-DBB6-42DF-ABD1-62F9FCAE2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122902</xdr:colOff>
      <xdr:row>22</xdr:row>
      <xdr:rowOff>133145</xdr:rowOff>
    </xdr:from>
    <xdr:to>
      <xdr:col>17</xdr:col>
      <xdr:colOff>281302</xdr:colOff>
      <xdr:row>23</xdr:row>
      <xdr:rowOff>117432</xdr:rowOff>
    </xdr:to>
    <xdr:sp macro="" textlink="">
      <xdr:nvSpPr>
        <xdr:cNvPr id="50" name="Oval 49">
          <a:extLst>
            <a:ext uri="{FF2B5EF4-FFF2-40B4-BE49-F238E27FC236}">
              <a16:creationId xmlns:a16="http://schemas.microsoft.com/office/drawing/2014/main" id="{8321A023-D19A-262C-C1B5-ABCF22146A8B}"/>
            </a:ext>
          </a:extLst>
        </xdr:cNvPr>
        <xdr:cNvSpPr/>
      </xdr:nvSpPr>
      <xdr:spPr>
        <a:xfrm>
          <a:off x="10132090" y="3974895"/>
          <a:ext cx="158400" cy="158912"/>
        </a:xfrm>
        <a:prstGeom prst="ellipse">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133144</xdr:colOff>
      <xdr:row>29</xdr:row>
      <xdr:rowOff>112662</xdr:rowOff>
    </xdr:from>
    <xdr:to>
      <xdr:col>17</xdr:col>
      <xdr:colOff>291544</xdr:colOff>
      <xdr:row>30</xdr:row>
      <xdr:rowOff>96949</xdr:rowOff>
    </xdr:to>
    <xdr:sp macro="" textlink="">
      <xdr:nvSpPr>
        <xdr:cNvPr id="51" name="Oval 50">
          <a:extLst>
            <a:ext uri="{FF2B5EF4-FFF2-40B4-BE49-F238E27FC236}">
              <a16:creationId xmlns:a16="http://schemas.microsoft.com/office/drawing/2014/main" id="{9A01D6A1-5524-5F17-72F8-D721865E6CCB}"/>
            </a:ext>
          </a:extLst>
        </xdr:cNvPr>
        <xdr:cNvSpPr/>
      </xdr:nvSpPr>
      <xdr:spPr>
        <a:xfrm>
          <a:off x="10190725" y="5161936"/>
          <a:ext cx="158400" cy="158400"/>
        </a:xfrm>
        <a:prstGeom prst="ellipse">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40968</xdr:colOff>
      <xdr:row>29</xdr:row>
      <xdr:rowOff>102420</xdr:rowOff>
    </xdr:from>
    <xdr:to>
      <xdr:col>15</xdr:col>
      <xdr:colOff>199368</xdr:colOff>
      <xdr:row>30</xdr:row>
      <xdr:rowOff>86707</xdr:rowOff>
    </xdr:to>
    <xdr:sp macro="" textlink="">
      <xdr:nvSpPr>
        <xdr:cNvPr id="52" name="Oval 51">
          <a:extLst>
            <a:ext uri="{FF2B5EF4-FFF2-40B4-BE49-F238E27FC236}">
              <a16:creationId xmlns:a16="http://schemas.microsoft.com/office/drawing/2014/main" id="{C951F06E-2CB2-5975-B460-F1FCC4209B52}"/>
            </a:ext>
          </a:extLst>
        </xdr:cNvPr>
        <xdr:cNvSpPr/>
      </xdr:nvSpPr>
      <xdr:spPr>
        <a:xfrm>
          <a:off x="8869516" y="5151694"/>
          <a:ext cx="158400" cy="158400"/>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529369</xdr:colOff>
      <xdr:row>25</xdr:row>
      <xdr:rowOff>107463</xdr:rowOff>
    </xdr:from>
    <xdr:to>
      <xdr:col>8</xdr:col>
      <xdr:colOff>407252</xdr:colOff>
      <xdr:row>35</xdr:row>
      <xdr:rowOff>107462</xdr:rowOff>
    </xdr:to>
    <xdr:graphicFrame macro="">
      <xdr:nvGraphicFramePr>
        <xdr:cNvPr id="55" name="Chart 54">
          <a:extLst>
            <a:ext uri="{FF2B5EF4-FFF2-40B4-BE49-F238E27FC236}">
              <a16:creationId xmlns:a16="http://schemas.microsoft.com/office/drawing/2014/main" id="{D3929D1E-0A7D-4F2B-85E3-7B6017CFB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541540</xdr:colOff>
      <xdr:row>22</xdr:row>
      <xdr:rowOff>76134</xdr:rowOff>
    </xdr:from>
    <xdr:to>
      <xdr:col>6</xdr:col>
      <xdr:colOff>439121</xdr:colOff>
      <xdr:row>23</xdr:row>
      <xdr:rowOff>168433</xdr:rowOff>
    </xdr:to>
    <xdr:sp macro="" textlink="">
      <xdr:nvSpPr>
        <xdr:cNvPr id="69" name="TextBox 68">
          <a:extLst>
            <a:ext uri="{FF2B5EF4-FFF2-40B4-BE49-F238E27FC236}">
              <a16:creationId xmlns:a16="http://schemas.microsoft.com/office/drawing/2014/main" id="{641F45C1-FF36-ABE3-BDA3-49FD426F78D4}"/>
            </a:ext>
          </a:extLst>
        </xdr:cNvPr>
        <xdr:cNvSpPr txBox="1"/>
      </xdr:nvSpPr>
      <xdr:spPr>
        <a:xfrm>
          <a:off x="2605290" y="3917884"/>
          <a:ext cx="1119956" cy="2669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Age Range</a:t>
          </a:r>
        </a:p>
        <a:p>
          <a:endParaRPr lang="en-GB" sz="1100" b="1">
            <a:solidFill>
              <a:srgbClr val="E5B244"/>
            </a:solidFill>
            <a:latin typeface="Kulim Park"/>
          </a:endParaRPr>
        </a:p>
      </xdr:txBody>
    </xdr:sp>
    <xdr:clientData/>
  </xdr:twoCellAnchor>
  <xdr:twoCellAnchor>
    <xdr:from>
      <xdr:col>4</xdr:col>
      <xdr:colOff>549192</xdr:colOff>
      <xdr:row>23</xdr:row>
      <xdr:rowOff>95252</xdr:rowOff>
    </xdr:from>
    <xdr:to>
      <xdr:col>7</xdr:col>
      <xdr:colOff>595312</xdr:colOff>
      <xdr:row>26</xdr:row>
      <xdr:rowOff>7938</xdr:rowOff>
    </xdr:to>
    <xdr:sp macro="" textlink="">
      <xdr:nvSpPr>
        <xdr:cNvPr id="74" name="TextBox 73">
          <a:extLst>
            <a:ext uri="{FF2B5EF4-FFF2-40B4-BE49-F238E27FC236}">
              <a16:creationId xmlns:a16="http://schemas.microsoft.com/office/drawing/2014/main" id="{EA27D8A8-4343-F228-1B69-2BA1C91D8469}"/>
            </a:ext>
          </a:extLst>
        </xdr:cNvPr>
        <xdr:cNvSpPr txBox="1"/>
      </xdr:nvSpPr>
      <xdr:spPr>
        <a:xfrm>
          <a:off x="2610880" y="4268109"/>
          <a:ext cx="1876900" cy="456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No. of employees according to age ranges and genders</a:t>
          </a:r>
        </a:p>
      </xdr:txBody>
    </xdr:sp>
    <xdr:clientData/>
  </xdr:twoCellAnchor>
  <xdr:twoCellAnchor>
    <xdr:from>
      <xdr:col>7</xdr:col>
      <xdr:colOff>566568</xdr:colOff>
      <xdr:row>24</xdr:row>
      <xdr:rowOff>141420</xdr:rowOff>
    </xdr:from>
    <xdr:to>
      <xdr:col>9</xdr:col>
      <xdr:colOff>464148</xdr:colOff>
      <xdr:row>26</xdr:row>
      <xdr:rowOff>77725</xdr:rowOff>
    </xdr:to>
    <xdr:sp macro="" textlink="">
      <xdr:nvSpPr>
        <xdr:cNvPr id="78" name="TextBox 77">
          <a:extLst>
            <a:ext uri="{FF2B5EF4-FFF2-40B4-BE49-F238E27FC236}">
              <a16:creationId xmlns:a16="http://schemas.microsoft.com/office/drawing/2014/main" id="{026DED86-D410-8B81-78E1-D73331179EF2}"/>
            </a:ext>
          </a:extLst>
        </xdr:cNvPr>
        <xdr:cNvSpPr txBox="1"/>
      </xdr:nvSpPr>
      <xdr:spPr>
        <a:xfrm>
          <a:off x="4438688" y="4448377"/>
          <a:ext cx="1112362" cy="295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a:solidFill>
                <a:schemeClr val="bg1"/>
              </a:solidFill>
              <a:latin typeface="Kulim Park"/>
            </a:rPr>
            <a:t>Males</a:t>
          </a:r>
        </a:p>
        <a:p>
          <a:endParaRPr lang="en-GB" sz="900">
            <a:solidFill>
              <a:schemeClr val="bg1"/>
            </a:solidFill>
            <a:latin typeface="Kulim Park"/>
          </a:endParaRPr>
        </a:p>
      </xdr:txBody>
    </xdr:sp>
    <xdr:clientData/>
  </xdr:twoCellAnchor>
  <xdr:twoCellAnchor>
    <xdr:from>
      <xdr:col>7</xdr:col>
      <xdr:colOff>585703</xdr:colOff>
      <xdr:row>25</xdr:row>
      <xdr:rowOff>53112</xdr:rowOff>
    </xdr:from>
    <xdr:to>
      <xdr:col>8</xdr:col>
      <xdr:colOff>38472</xdr:colOff>
      <xdr:row>25</xdr:row>
      <xdr:rowOff>117380</xdr:rowOff>
    </xdr:to>
    <xdr:sp macro="" textlink="">
      <xdr:nvSpPr>
        <xdr:cNvPr id="84" name="Oval 83">
          <a:extLst>
            <a:ext uri="{FF2B5EF4-FFF2-40B4-BE49-F238E27FC236}">
              <a16:creationId xmlns:a16="http://schemas.microsoft.com/office/drawing/2014/main" id="{D0C872A4-4F68-D918-966B-9C1F36302C59}"/>
            </a:ext>
          </a:extLst>
        </xdr:cNvPr>
        <xdr:cNvSpPr/>
      </xdr:nvSpPr>
      <xdr:spPr>
        <a:xfrm flipH="1">
          <a:off x="4471298" y="4462834"/>
          <a:ext cx="62571" cy="64268"/>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38315</xdr:colOff>
      <xdr:row>24</xdr:row>
      <xdr:rowOff>140193</xdr:rowOff>
    </xdr:from>
    <xdr:to>
      <xdr:col>8</xdr:col>
      <xdr:colOff>42607</xdr:colOff>
      <xdr:row>26</xdr:row>
      <xdr:rowOff>74517</xdr:rowOff>
    </xdr:to>
    <xdr:sp macro="" textlink="">
      <xdr:nvSpPr>
        <xdr:cNvPr id="85" name="TextBox 84">
          <a:extLst>
            <a:ext uri="{FF2B5EF4-FFF2-40B4-BE49-F238E27FC236}">
              <a16:creationId xmlns:a16="http://schemas.microsoft.com/office/drawing/2014/main" id="{450ABDB8-07A0-5178-DC88-9A7247D24CC8}"/>
            </a:ext>
          </a:extLst>
        </xdr:cNvPr>
        <xdr:cNvSpPr txBox="1"/>
      </xdr:nvSpPr>
      <xdr:spPr>
        <a:xfrm>
          <a:off x="3923910" y="4373526"/>
          <a:ext cx="614094" cy="287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a:solidFill>
                <a:schemeClr val="bg1"/>
              </a:solidFill>
              <a:latin typeface="Kulim Park"/>
            </a:rPr>
            <a:t>Females</a:t>
          </a:r>
        </a:p>
        <a:p>
          <a:endParaRPr lang="en-GB" sz="900">
            <a:solidFill>
              <a:schemeClr val="bg1"/>
            </a:solidFill>
            <a:latin typeface="Kulim Park"/>
          </a:endParaRPr>
        </a:p>
      </xdr:txBody>
    </xdr:sp>
    <xdr:clientData/>
  </xdr:twoCellAnchor>
  <xdr:twoCellAnchor>
    <xdr:from>
      <xdr:col>7</xdr:col>
      <xdr:colOff>60202</xdr:colOff>
      <xdr:row>25</xdr:row>
      <xdr:rowOff>53112</xdr:rowOff>
    </xdr:from>
    <xdr:to>
      <xdr:col>7</xdr:col>
      <xdr:colOff>122773</xdr:colOff>
      <xdr:row>25</xdr:row>
      <xdr:rowOff>117380</xdr:rowOff>
    </xdr:to>
    <xdr:sp macro="" textlink="">
      <xdr:nvSpPr>
        <xdr:cNvPr id="88" name="Oval 87">
          <a:extLst>
            <a:ext uri="{FF2B5EF4-FFF2-40B4-BE49-F238E27FC236}">
              <a16:creationId xmlns:a16="http://schemas.microsoft.com/office/drawing/2014/main" id="{91A98208-5D5A-7971-2C8B-74890C5D8ACF}"/>
            </a:ext>
          </a:extLst>
        </xdr:cNvPr>
        <xdr:cNvSpPr/>
      </xdr:nvSpPr>
      <xdr:spPr>
        <a:xfrm flipH="1">
          <a:off x="3945797" y="4462834"/>
          <a:ext cx="62571" cy="64268"/>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262222</xdr:colOff>
      <xdr:row>28</xdr:row>
      <xdr:rowOff>7217</xdr:rowOff>
    </xdr:from>
    <xdr:to>
      <xdr:col>3</xdr:col>
      <xdr:colOff>490682</xdr:colOff>
      <xdr:row>31</xdr:row>
      <xdr:rowOff>139</xdr:rowOff>
    </xdr:to>
    <xdr:graphicFrame macro="">
      <xdr:nvGraphicFramePr>
        <xdr:cNvPr id="23" name="Chart 22">
          <a:extLst>
            <a:ext uri="{FF2B5EF4-FFF2-40B4-BE49-F238E27FC236}">
              <a16:creationId xmlns:a16="http://schemas.microsoft.com/office/drawing/2014/main" id="{1A88B13A-C3FD-41C3-8596-8B756A1BA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261167</xdr:colOff>
      <xdr:row>30</xdr:row>
      <xdr:rowOff>74819</xdr:rowOff>
    </xdr:from>
    <xdr:to>
      <xdr:col>3</xdr:col>
      <xdr:colOff>489627</xdr:colOff>
      <xdr:row>33</xdr:row>
      <xdr:rowOff>65879</xdr:rowOff>
    </xdr:to>
    <xdr:graphicFrame macro="">
      <xdr:nvGraphicFramePr>
        <xdr:cNvPr id="24" name="Chart 23">
          <a:extLst>
            <a:ext uri="{FF2B5EF4-FFF2-40B4-BE49-F238E27FC236}">
              <a16:creationId xmlns:a16="http://schemas.microsoft.com/office/drawing/2014/main" id="{BAA0509F-38B1-4004-9556-F98455A05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255927</xdr:colOff>
      <xdr:row>32</xdr:row>
      <xdr:rowOff>130849</xdr:rowOff>
    </xdr:from>
    <xdr:to>
      <xdr:col>3</xdr:col>
      <xdr:colOff>484387</xdr:colOff>
      <xdr:row>35</xdr:row>
      <xdr:rowOff>121910</xdr:rowOff>
    </xdr:to>
    <xdr:graphicFrame macro="">
      <xdr:nvGraphicFramePr>
        <xdr:cNvPr id="29" name="Chart 28">
          <a:extLst>
            <a:ext uri="{FF2B5EF4-FFF2-40B4-BE49-F238E27FC236}">
              <a16:creationId xmlns:a16="http://schemas.microsoft.com/office/drawing/2014/main" id="{5832DCEE-1483-413C-9FF8-61D290AB9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305750</xdr:colOff>
      <xdr:row>27</xdr:row>
      <xdr:rowOff>129269</xdr:rowOff>
    </xdr:from>
    <xdr:to>
      <xdr:col>3</xdr:col>
      <xdr:colOff>203332</xdr:colOff>
      <xdr:row>29</xdr:row>
      <xdr:rowOff>41916</xdr:rowOff>
    </xdr:to>
    <xdr:sp macro="" textlink="">
      <xdr:nvSpPr>
        <xdr:cNvPr id="30" name="TextBox 29">
          <a:extLst>
            <a:ext uri="{FF2B5EF4-FFF2-40B4-BE49-F238E27FC236}">
              <a16:creationId xmlns:a16="http://schemas.microsoft.com/office/drawing/2014/main" id="{36D3670D-9CD6-AAD9-E066-08ACB87BABFA}"/>
            </a:ext>
          </a:extLst>
        </xdr:cNvPr>
        <xdr:cNvSpPr txBox="1"/>
      </xdr:nvSpPr>
      <xdr:spPr>
        <a:xfrm>
          <a:off x="534350" y="4929869"/>
          <a:ext cx="1116782" cy="268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100">
              <a:solidFill>
                <a:schemeClr val="bg1"/>
              </a:solidFill>
              <a:latin typeface="Kulim Park"/>
            </a:rPr>
            <a:t>Branch</a:t>
          </a:r>
          <a:r>
            <a:rPr lang="en-GB" sz="1100" baseline="0">
              <a:solidFill>
                <a:schemeClr val="bg1"/>
              </a:solidFill>
              <a:latin typeface="Kulim Park"/>
            </a:rPr>
            <a:t> </a:t>
          </a:r>
          <a:r>
            <a:rPr lang="en-GB" sz="1050" baseline="0">
              <a:solidFill>
                <a:schemeClr val="bg1"/>
              </a:solidFill>
              <a:latin typeface="Kulim Park"/>
            </a:rPr>
            <a:t>Office</a:t>
          </a:r>
          <a:endParaRPr lang="en-GB" sz="1100">
            <a:solidFill>
              <a:schemeClr val="bg1"/>
            </a:solidFill>
            <a:latin typeface="Kulim Park"/>
          </a:endParaRPr>
        </a:p>
      </xdr:txBody>
    </xdr:sp>
    <xdr:clientData/>
  </xdr:twoCellAnchor>
  <xdr:twoCellAnchor>
    <xdr:from>
      <xdr:col>1</xdr:col>
      <xdr:colOff>305750</xdr:colOff>
      <xdr:row>30</xdr:row>
      <xdr:rowOff>13584</xdr:rowOff>
    </xdr:from>
    <xdr:to>
      <xdr:col>3</xdr:col>
      <xdr:colOff>203332</xdr:colOff>
      <xdr:row>31</xdr:row>
      <xdr:rowOff>107718</xdr:rowOff>
    </xdr:to>
    <xdr:sp macro="" textlink="">
      <xdr:nvSpPr>
        <xdr:cNvPr id="33" name="TextBox 32">
          <a:extLst>
            <a:ext uri="{FF2B5EF4-FFF2-40B4-BE49-F238E27FC236}">
              <a16:creationId xmlns:a16="http://schemas.microsoft.com/office/drawing/2014/main" id="{F15492C9-74A6-9C1B-5DA3-FC076BDBEDC7}"/>
            </a:ext>
          </a:extLst>
        </xdr:cNvPr>
        <xdr:cNvSpPr txBox="1"/>
      </xdr:nvSpPr>
      <xdr:spPr>
        <a:xfrm>
          <a:off x="534350" y="5347584"/>
          <a:ext cx="1116782" cy="271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100">
              <a:solidFill>
                <a:schemeClr val="bg1"/>
              </a:solidFill>
              <a:latin typeface="Kulim Park"/>
            </a:rPr>
            <a:t>Head</a:t>
          </a:r>
          <a:r>
            <a:rPr lang="en-GB" sz="1100" baseline="0">
              <a:solidFill>
                <a:schemeClr val="bg1"/>
              </a:solidFill>
              <a:latin typeface="Kulim Park"/>
            </a:rPr>
            <a:t> Office</a:t>
          </a:r>
          <a:endParaRPr lang="en-GB" sz="1100">
            <a:solidFill>
              <a:schemeClr val="bg1"/>
            </a:solidFill>
            <a:latin typeface="Kulim Park"/>
          </a:endParaRPr>
        </a:p>
      </xdr:txBody>
    </xdr:sp>
    <xdr:clientData/>
  </xdr:twoCellAnchor>
  <xdr:twoCellAnchor>
    <xdr:from>
      <xdr:col>1</xdr:col>
      <xdr:colOff>305750</xdr:colOff>
      <xdr:row>32</xdr:row>
      <xdr:rowOff>79385</xdr:rowOff>
    </xdr:from>
    <xdr:to>
      <xdr:col>3</xdr:col>
      <xdr:colOff>203332</xdr:colOff>
      <xdr:row>33</xdr:row>
      <xdr:rowOff>169832</xdr:rowOff>
    </xdr:to>
    <xdr:sp macro="" textlink="">
      <xdr:nvSpPr>
        <xdr:cNvPr id="34" name="TextBox 33">
          <a:extLst>
            <a:ext uri="{FF2B5EF4-FFF2-40B4-BE49-F238E27FC236}">
              <a16:creationId xmlns:a16="http://schemas.microsoft.com/office/drawing/2014/main" id="{753B60EE-83D2-B180-219B-DE466F8DA2D6}"/>
            </a:ext>
          </a:extLst>
        </xdr:cNvPr>
        <xdr:cNvSpPr txBox="1"/>
      </xdr:nvSpPr>
      <xdr:spPr>
        <a:xfrm>
          <a:off x="534350" y="5768985"/>
          <a:ext cx="1116782" cy="268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100">
              <a:solidFill>
                <a:schemeClr val="bg1"/>
              </a:solidFill>
              <a:latin typeface="Kulim Park"/>
            </a:rPr>
            <a:t>Remote</a:t>
          </a:r>
        </a:p>
      </xdr:txBody>
    </xdr:sp>
    <xdr:clientData/>
  </xdr:twoCellAnchor>
  <xdr:twoCellAnchor>
    <xdr:from>
      <xdr:col>3</xdr:col>
      <xdr:colOff>291857</xdr:colOff>
      <xdr:row>28</xdr:row>
      <xdr:rowOff>131319</xdr:rowOff>
    </xdr:from>
    <xdr:to>
      <xdr:col>4</xdr:col>
      <xdr:colOff>163907</xdr:colOff>
      <xdr:row>30</xdr:row>
      <xdr:rowOff>46653</xdr:rowOff>
    </xdr:to>
    <xdr:sp macro="" textlink="'Pivot table'!N16">
      <xdr:nvSpPr>
        <xdr:cNvPr id="83" name="TextBox 82">
          <a:extLst>
            <a:ext uri="{FF2B5EF4-FFF2-40B4-BE49-F238E27FC236}">
              <a16:creationId xmlns:a16="http://schemas.microsoft.com/office/drawing/2014/main" id="{59F9E65C-A79C-9C9B-7793-ED4B9A955FF5}"/>
            </a:ext>
          </a:extLst>
        </xdr:cNvPr>
        <xdr:cNvSpPr txBox="1"/>
      </xdr:nvSpPr>
      <xdr:spPr>
        <a:xfrm>
          <a:off x="1740550" y="5134736"/>
          <a:ext cx="481523" cy="2727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9C7C7250-E03B-4444-84A1-BF7E8BF5ADCB}" type="TxLink">
            <a:rPr lang="en-US" sz="1000" b="1" i="0" u="none" strike="noStrike">
              <a:solidFill>
                <a:schemeClr val="bg1"/>
              </a:solidFill>
              <a:latin typeface="Aptos Narrow"/>
            </a:rPr>
            <a:pPr algn="l"/>
            <a:t>46%</a:t>
          </a:fld>
          <a:endParaRPr lang="en-GB" sz="1000">
            <a:solidFill>
              <a:schemeClr val="bg1"/>
            </a:solidFill>
            <a:latin typeface="Kulim Park"/>
          </a:endParaRPr>
        </a:p>
      </xdr:txBody>
    </xdr:sp>
    <xdr:clientData/>
  </xdr:twoCellAnchor>
  <xdr:twoCellAnchor>
    <xdr:from>
      <xdr:col>3</xdr:col>
      <xdr:colOff>288666</xdr:colOff>
      <xdr:row>31</xdr:row>
      <xdr:rowOff>42545</xdr:rowOff>
    </xdr:from>
    <xdr:to>
      <xdr:col>4</xdr:col>
      <xdr:colOff>160716</xdr:colOff>
      <xdr:row>32</xdr:row>
      <xdr:rowOff>81597</xdr:rowOff>
    </xdr:to>
    <xdr:sp macro="" textlink="'Pivot table'!N17">
      <xdr:nvSpPr>
        <xdr:cNvPr id="86" name="TextBox 85">
          <a:extLst>
            <a:ext uri="{FF2B5EF4-FFF2-40B4-BE49-F238E27FC236}">
              <a16:creationId xmlns:a16="http://schemas.microsoft.com/office/drawing/2014/main" id="{A1E5566A-D773-A186-C241-A17BA210F89C}"/>
            </a:ext>
          </a:extLst>
        </xdr:cNvPr>
        <xdr:cNvSpPr txBox="1"/>
      </xdr:nvSpPr>
      <xdr:spPr>
        <a:xfrm>
          <a:off x="1737359" y="5582042"/>
          <a:ext cx="481523" cy="217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45098E79-A3BA-48FA-8DD4-726106C74784}" type="TxLink">
            <a:rPr lang="en-US" sz="1000" b="1" i="0" u="none" strike="noStrike">
              <a:solidFill>
                <a:schemeClr val="bg1"/>
              </a:solidFill>
              <a:latin typeface="Aptos Narrow"/>
            </a:rPr>
            <a:pPr algn="l"/>
            <a:t>16%</a:t>
          </a:fld>
          <a:endParaRPr lang="en-GB" sz="1000">
            <a:solidFill>
              <a:schemeClr val="bg1"/>
            </a:solidFill>
            <a:latin typeface="Kulim Park"/>
          </a:endParaRPr>
        </a:p>
      </xdr:txBody>
    </xdr:sp>
    <xdr:clientData/>
  </xdr:twoCellAnchor>
  <xdr:twoCellAnchor>
    <xdr:from>
      <xdr:col>3</xdr:col>
      <xdr:colOff>285475</xdr:colOff>
      <xdr:row>33</xdr:row>
      <xdr:rowOff>103019</xdr:rowOff>
    </xdr:from>
    <xdr:to>
      <xdr:col>4</xdr:col>
      <xdr:colOff>98258</xdr:colOff>
      <xdr:row>34</xdr:row>
      <xdr:rowOff>144437</xdr:rowOff>
    </xdr:to>
    <xdr:sp macro="" textlink="'Pivot table'!N18">
      <xdr:nvSpPr>
        <xdr:cNvPr id="87" name="TextBox 86">
          <a:extLst>
            <a:ext uri="{FF2B5EF4-FFF2-40B4-BE49-F238E27FC236}">
              <a16:creationId xmlns:a16="http://schemas.microsoft.com/office/drawing/2014/main" id="{1871C298-2D97-8C08-1425-8894ACE29139}"/>
            </a:ext>
          </a:extLst>
        </xdr:cNvPr>
        <xdr:cNvSpPr txBox="1"/>
      </xdr:nvSpPr>
      <xdr:spPr>
        <a:xfrm>
          <a:off x="1734168" y="5999903"/>
          <a:ext cx="422256" cy="2201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F660F2DD-99CC-4A66-96F4-34FD44A9BA7A}" type="TxLink">
            <a:rPr lang="en-US" sz="1000" b="1" i="0" u="none" strike="noStrike">
              <a:solidFill>
                <a:schemeClr val="bg1"/>
              </a:solidFill>
              <a:latin typeface="Aptos Narrow"/>
            </a:rPr>
            <a:pPr algn="l"/>
            <a:t>38%</a:t>
          </a:fld>
          <a:endParaRPr lang="en-GB" sz="1000">
            <a:solidFill>
              <a:schemeClr val="bg1"/>
            </a:solidFill>
            <a:latin typeface="Kulim Park"/>
          </a:endParaRPr>
        </a:p>
      </xdr:txBody>
    </xdr:sp>
    <xdr:clientData/>
  </xdr:twoCellAnchor>
  <xdr:twoCellAnchor>
    <xdr:from>
      <xdr:col>1</xdr:col>
      <xdr:colOff>231256</xdr:colOff>
      <xdr:row>25</xdr:row>
      <xdr:rowOff>50511</xdr:rowOff>
    </xdr:from>
    <xdr:to>
      <xdr:col>3</xdr:col>
      <xdr:colOff>555625</xdr:colOff>
      <xdr:row>26</xdr:row>
      <xdr:rowOff>103489</xdr:rowOff>
    </xdr:to>
    <xdr:sp macro="" textlink="">
      <xdr:nvSpPr>
        <xdr:cNvPr id="115" name="TextBox 114">
          <a:extLst>
            <a:ext uri="{FF2B5EF4-FFF2-40B4-BE49-F238E27FC236}">
              <a16:creationId xmlns:a16="http://schemas.microsoft.com/office/drawing/2014/main" id="{9EC8A589-527B-E2A2-7A57-7AEEB35A4602}"/>
            </a:ext>
          </a:extLst>
        </xdr:cNvPr>
        <xdr:cNvSpPr txBox="1"/>
      </xdr:nvSpPr>
      <xdr:spPr>
        <a:xfrm>
          <a:off x="462165" y="4560454"/>
          <a:ext cx="1536642" cy="2333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Work Location</a:t>
          </a:r>
        </a:p>
        <a:p>
          <a:endParaRPr lang="en-GB" sz="1100" b="1">
            <a:solidFill>
              <a:srgbClr val="E5B244"/>
            </a:solidFill>
            <a:latin typeface="Kulim Park"/>
          </a:endParaRPr>
        </a:p>
      </xdr:txBody>
    </xdr:sp>
    <xdr:clientData/>
  </xdr:twoCellAnchor>
  <xdr:twoCellAnchor>
    <xdr:from>
      <xdr:col>1</xdr:col>
      <xdr:colOff>246124</xdr:colOff>
      <xdr:row>26</xdr:row>
      <xdr:rowOff>51957</xdr:rowOff>
    </xdr:from>
    <xdr:to>
      <xdr:col>4</xdr:col>
      <xdr:colOff>292244</xdr:colOff>
      <xdr:row>28</xdr:row>
      <xdr:rowOff>145041</xdr:rowOff>
    </xdr:to>
    <xdr:sp macro="" textlink="">
      <xdr:nvSpPr>
        <xdr:cNvPr id="116" name="TextBox 115">
          <a:extLst>
            <a:ext uri="{FF2B5EF4-FFF2-40B4-BE49-F238E27FC236}">
              <a16:creationId xmlns:a16="http://schemas.microsoft.com/office/drawing/2014/main" id="{71E4E8C5-0786-627C-7207-B18AF956BA62}"/>
            </a:ext>
          </a:extLst>
        </xdr:cNvPr>
        <xdr:cNvSpPr txBox="1"/>
      </xdr:nvSpPr>
      <xdr:spPr>
        <a:xfrm>
          <a:off x="477033" y="4742298"/>
          <a:ext cx="1864529" cy="453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Employees to workplace</a:t>
          </a:r>
        </a:p>
      </xdr:txBody>
    </xdr:sp>
    <xdr:clientData/>
  </xdr:twoCellAnchor>
  <xdr:twoCellAnchor>
    <xdr:from>
      <xdr:col>1</xdr:col>
      <xdr:colOff>268932</xdr:colOff>
      <xdr:row>16</xdr:row>
      <xdr:rowOff>138251</xdr:rowOff>
    </xdr:from>
    <xdr:to>
      <xdr:col>3</xdr:col>
      <xdr:colOff>166513</xdr:colOff>
      <xdr:row>18</xdr:row>
      <xdr:rowOff>50588</xdr:rowOff>
    </xdr:to>
    <xdr:sp macro="" textlink="">
      <xdr:nvSpPr>
        <xdr:cNvPr id="117" name="TextBox 116">
          <a:extLst>
            <a:ext uri="{FF2B5EF4-FFF2-40B4-BE49-F238E27FC236}">
              <a16:creationId xmlns:a16="http://schemas.microsoft.com/office/drawing/2014/main" id="{39CD76ED-B20C-5031-E2B6-742E9B45EA3C}"/>
            </a:ext>
          </a:extLst>
        </xdr:cNvPr>
        <xdr:cNvSpPr txBox="1"/>
      </xdr:nvSpPr>
      <xdr:spPr>
        <a:xfrm>
          <a:off x="496881" y="3003892"/>
          <a:ext cx="1118735" cy="270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100">
              <a:solidFill>
                <a:schemeClr val="bg1"/>
              </a:solidFill>
              <a:latin typeface="Kulim Park"/>
            </a:rPr>
            <a:t>Communication</a:t>
          </a:r>
        </a:p>
      </xdr:txBody>
    </xdr:sp>
    <xdr:clientData/>
  </xdr:twoCellAnchor>
  <xdr:twoCellAnchor>
    <xdr:from>
      <xdr:col>1</xdr:col>
      <xdr:colOff>269535</xdr:colOff>
      <xdr:row>18</xdr:row>
      <xdr:rowOff>50270</xdr:rowOff>
    </xdr:from>
    <xdr:to>
      <xdr:col>3</xdr:col>
      <xdr:colOff>167116</xdr:colOff>
      <xdr:row>19</xdr:row>
      <xdr:rowOff>144715</xdr:rowOff>
    </xdr:to>
    <xdr:sp macro="" textlink="">
      <xdr:nvSpPr>
        <xdr:cNvPr id="118" name="TextBox 117">
          <a:extLst>
            <a:ext uri="{FF2B5EF4-FFF2-40B4-BE49-F238E27FC236}">
              <a16:creationId xmlns:a16="http://schemas.microsoft.com/office/drawing/2014/main" id="{6CE99250-63BE-7FB2-BFBA-AD4E98DCD4DE}"/>
            </a:ext>
          </a:extLst>
        </xdr:cNvPr>
        <xdr:cNvSpPr txBox="1"/>
      </xdr:nvSpPr>
      <xdr:spPr>
        <a:xfrm>
          <a:off x="501852" y="3256246"/>
          <a:ext cx="1121118" cy="272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a:solidFill>
                <a:schemeClr val="bg1"/>
              </a:solidFill>
              <a:latin typeface="Kulim Park"/>
            </a:rPr>
            <a:t>Design</a:t>
          </a:r>
        </a:p>
      </xdr:txBody>
    </xdr:sp>
    <xdr:clientData/>
  </xdr:twoCellAnchor>
  <xdr:twoCellAnchor>
    <xdr:from>
      <xdr:col>1</xdr:col>
      <xdr:colOff>269535</xdr:colOff>
      <xdr:row>19</xdr:row>
      <xdr:rowOff>144397</xdr:rowOff>
    </xdr:from>
    <xdr:to>
      <xdr:col>3</xdr:col>
      <xdr:colOff>167116</xdr:colOff>
      <xdr:row>21</xdr:row>
      <xdr:rowOff>56733</xdr:rowOff>
    </xdr:to>
    <xdr:sp macro="" textlink="">
      <xdr:nvSpPr>
        <xdr:cNvPr id="119" name="TextBox 118">
          <a:extLst>
            <a:ext uri="{FF2B5EF4-FFF2-40B4-BE49-F238E27FC236}">
              <a16:creationId xmlns:a16="http://schemas.microsoft.com/office/drawing/2014/main" id="{659C2B5F-0F5E-1E51-3191-2FBD5E6D33E3}"/>
            </a:ext>
          </a:extLst>
        </xdr:cNvPr>
        <xdr:cNvSpPr txBox="1"/>
      </xdr:nvSpPr>
      <xdr:spPr>
        <a:xfrm>
          <a:off x="501852" y="3528482"/>
          <a:ext cx="1121118" cy="268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a:solidFill>
                <a:schemeClr val="bg1"/>
              </a:solidFill>
              <a:latin typeface="Kulim Park"/>
            </a:rPr>
            <a:t>Excel</a:t>
          </a:r>
        </a:p>
      </xdr:txBody>
    </xdr:sp>
    <xdr:clientData/>
  </xdr:twoCellAnchor>
  <xdr:twoCellAnchor>
    <xdr:from>
      <xdr:col>1</xdr:col>
      <xdr:colOff>269535</xdr:colOff>
      <xdr:row>21</xdr:row>
      <xdr:rowOff>56415</xdr:rowOff>
    </xdr:from>
    <xdr:to>
      <xdr:col>3</xdr:col>
      <xdr:colOff>167116</xdr:colOff>
      <xdr:row>22</xdr:row>
      <xdr:rowOff>150859</xdr:rowOff>
    </xdr:to>
    <xdr:sp macro="" textlink="">
      <xdr:nvSpPr>
        <xdr:cNvPr id="120" name="TextBox 119">
          <a:extLst>
            <a:ext uri="{FF2B5EF4-FFF2-40B4-BE49-F238E27FC236}">
              <a16:creationId xmlns:a16="http://schemas.microsoft.com/office/drawing/2014/main" id="{B2C02E0C-9BB3-849F-1E59-F18F39036A6B}"/>
            </a:ext>
          </a:extLst>
        </xdr:cNvPr>
        <xdr:cNvSpPr txBox="1"/>
      </xdr:nvSpPr>
      <xdr:spPr>
        <a:xfrm>
          <a:off x="501852" y="3796720"/>
          <a:ext cx="1121118" cy="272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a:solidFill>
                <a:schemeClr val="bg1"/>
              </a:solidFill>
              <a:latin typeface="Kulim Park"/>
            </a:rPr>
            <a:t>Management</a:t>
          </a:r>
        </a:p>
      </xdr:txBody>
    </xdr:sp>
    <xdr:clientData/>
  </xdr:twoCellAnchor>
  <xdr:twoCellAnchor>
    <xdr:from>
      <xdr:col>1</xdr:col>
      <xdr:colOff>269535</xdr:colOff>
      <xdr:row>22</xdr:row>
      <xdr:rowOff>136392</xdr:rowOff>
    </xdr:from>
    <xdr:to>
      <xdr:col>3</xdr:col>
      <xdr:colOff>167116</xdr:colOff>
      <xdr:row>24</xdr:row>
      <xdr:rowOff>69213</xdr:rowOff>
    </xdr:to>
    <xdr:sp macro="" textlink="">
      <xdr:nvSpPr>
        <xdr:cNvPr id="121" name="TextBox 120">
          <a:extLst>
            <a:ext uri="{FF2B5EF4-FFF2-40B4-BE49-F238E27FC236}">
              <a16:creationId xmlns:a16="http://schemas.microsoft.com/office/drawing/2014/main" id="{E5499550-0AD1-3D9D-51FF-A76328549630}"/>
            </a:ext>
          </a:extLst>
        </xdr:cNvPr>
        <xdr:cNvSpPr txBox="1"/>
      </xdr:nvSpPr>
      <xdr:spPr>
        <a:xfrm>
          <a:off x="501852" y="4054807"/>
          <a:ext cx="1121118" cy="289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a:solidFill>
                <a:schemeClr val="bg1"/>
              </a:solidFill>
              <a:latin typeface="Kulim Park"/>
            </a:rPr>
            <a:t>Python</a:t>
          </a:r>
        </a:p>
        <a:p>
          <a:pPr algn="l"/>
          <a:endParaRPr lang="en-GB" sz="1100">
            <a:solidFill>
              <a:schemeClr val="bg1"/>
            </a:solidFill>
            <a:latin typeface="Kulim Park"/>
          </a:endParaRPr>
        </a:p>
      </xdr:txBody>
    </xdr:sp>
    <xdr:clientData/>
  </xdr:twoCellAnchor>
  <xdr:twoCellAnchor>
    <xdr:from>
      <xdr:col>2</xdr:col>
      <xdr:colOff>207583</xdr:colOff>
      <xdr:row>16</xdr:row>
      <xdr:rowOff>130506</xdr:rowOff>
    </xdr:from>
    <xdr:to>
      <xdr:col>4</xdr:col>
      <xdr:colOff>105164</xdr:colOff>
      <xdr:row>18</xdr:row>
      <xdr:rowOff>42843</xdr:rowOff>
    </xdr:to>
    <xdr:sp macro="" textlink="'Pivot table'!R13">
      <xdr:nvSpPr>
        <xdr:cNvPr id="123" name="TextBox 122">
          <a:extLst>
            <a:ext uri="{FF2B5EF4-FFF2-40B4-BE49-F238E27FC236}">
              <a16:creationId xmlns:a16="http://schemas.microsoft.com/office/drawing/2014/main" id="{0EEADD92-8BCC-8E79-3D49-C8934F8FA775}"/>
            </a:ext>
          </a:extLst>
        </xdr:cNvPr>
        <xdr:cNvSpPr txBox="1"/>
      </xdr:nvSpPr>
      <xdr:spPr>
        <a:xfrm>
          <a:off x="1051668" y="2980262"/>
          <a:ext cx="1121118" cy="268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B77F7CE6-8C72-4A85-A425-ED489FD4BF74}" type="TxLink">
            <a:rPr lang="en-US" sz="1600" b="1" i="0" u="none" strike="noStrike">
              <a:solidFill>
                <a:srgbClr val="E5B244"/>
              </a:solidFill>
              <a:latin typeface="Aptos Narrow"/>
            </a:rPr>
            <a:pPr algn="r"/>
            <a:t>12</a:t>
          </a:fld>
          <a:endParaRPr lang="en-GB" sz="1600" b="1">
            <a:solidFill>
              <a:srgbClr val="E5B244"/>
            </a:solidFill>
            <a:latin typeface="Kulim Park"/>
          </a:endParaRPr>
        </a:p>
      </xdr:txBody>
    </xdr:sp>
    <xdr:clientData/>
  </xdr:twoCellAnchor>
  <xdr:twoCellAnchor>
    <xdr:from>
      <xdr:col>2</xdr:col>
      <xdr:colOff>207583</xdr:colOff>
      <xdr:row>18</xdr:row>
      <xdr:rowOff>42525</xdr:rowOff>
    </xdr:from>
    <xdr:to>
      <xdr:col>4</xdr:col>
      <xdr:colOff>105164</xdr:colOff>
      <xdr:row>19</xdr:row>
      <xdr:rowOff>136970</xdr:rowOff>
    </xdr:to>
    <xdr:sp macro="" textlink="'Pivot table'!R14">
      <xdr:nvSpPr>
        <xdr:cNvPr id="124" name="TextBox 123">
          <a:extLst>
            <a:ext uri="{FF2B5EF4-FFF2-40B4-BE49-F238E27FC236}">
              <a16:creationId xmlns:a16="http://schemas.microsoft.com/office/drawing/2014/main" id="{D9520606-8778-01E4-1A24-B6FAB8602953}"/>
            </a:ext>
          </a:extLst>
        </xdr:cNvPr>
        <xdr:cNvSpPr txBox="1"/>
      </xdr:nvSpPr>
      <xdr:spPr>
        <a:xfrm>
          <a:off x="1051668" y="3248501"/>
          <a:ext cx="1121118" cy="272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7CAE4A6E-11B5-43BA-9304-D07B583539B6}" type="TxLink">
            <a:rPr lang="en-US" sz="1600" b="1" i="0" u="none" strike="noStrike">
              <a:solidFill>
                <a:srgbClr val="E5B244"/>
              </a:solidFill>
              <a:latin typeface="Aptos Narrow"/>
            </a:rPr>
            <a:pPr algn="r"/>
            <a:t>11</a:t>
          </a:fld>
          <a:endParaRPr lang="en-GB" sz="1600" b="1">
            <a:solidFill>
              <a:srgbClr val="E5B244"/>
            </a:solidFill>
            <a:latin typeface="Kulim Park"/>
          </a:endParaRPr>
        </a:p>
      </xdr:txBody>
    </xdr:sp>
    <xdr:clientData/>
  </xdr:twoCellAnchor>
  <xdr:twoCellAnchor>
    <xdr:from>
      <xdr:col>2</xdr:col>
      <xdr:colOff>207583</xdr:colOff>
      <xdr:row>19</xdr:row>
      <xdr:rowOff>136652</xdr:rowOff>
    </xdr:from>
    <xdr:to>
      <xdr:col>4</xdr:col>
      <xdr:colOff>105164</xdr:colOff>
      <xdr:row>21</xdr:row>
      <xdr:rowOff>48988</xdr:rowOff>
    </xdr:to>
    <xdr:sp macro="" textlink="'Pivot table'!R15">
      <xdr:nvSpPr>
        <xdr:cNvPr id="125" name="TextBox 124">
          <a:extLst>
            <a:ext uri="{FF2B5EF4-FFF2-40B4-BE49-F238E27FC236}">
              <a16:creationId xmlns:a16="http://schemas.microsoft.com/office/drawing/2014/main" id="{A99D298E-668C-8BD7-6BAF-64E2134776B7}"/>
            </a:ext>
          </a:extLst>
        </xdr:cNvPr>
        <xdr:cNvSpPr txBox="1"/>
      </xdr:nvSpPr>
      <xdr:spPr>
        <a:xfrm>
          <a:off x="1051668" y="3520737"/>
          <a:ext cx="1121118" cy="268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861F72E0-4B30-47AD-ABBC-E7D3EA24FC31}" type="TxLink">
            <a:rPr lang="en-US" sz="1600" b="1" i="0" u="none" strike="noStrike">
              <a:solidFill>
                <a:srgbClr val="E5B244"/>
              </a:solidFill>
              <a:latin typeface="Aptos Narrow"/>
            </a:rPr>
            <a:pPr algn="r"/>
            <a:t>7</a:t>
          </a:fld>
          <a:endParaRPr lang="en-GB" sz="1600" b="1">
            <a:solidFill>
              <a:srgbClr val="E5B244"/>
            </a:solidFill>
            <a:latin typeface="Kulim Park"/>
          </a:endParaRPr>
        </a:p>
      </xdr:txBody>
    </xdr:sp>
    <xdr:clientData/>
  </xdr:twoCellAnchor>
  <xdr:twoCellAnchor>
    <xdr:from>
      <xdr:col>2</xdr:col>
      <xdr:colOff>207583</xdr:colOff>
      <xdr:row>21</xdr:row>
      <xdr:rowOff>48670</xdr:rowOff>
    </xdr:from>
    <xdr:to>
      <xdr:col>4</xdr:col>
      <xdr:colOff>105164</xdr:colOff>
      <xdr:row>22</xdr:row>
      <xdr:rowOff>143114</xdr:rowOff>
    </xdr:to>
    <xdr:sp macro="" textlink="'Pivot table'!R16">
      <xdr:nvSpPr>
        <xdr:cNvPr id="126" name="TextBox 125">
          <a:extLst>
            <a:ext uri="{FF2B5EF4-FFF2-40B4-BE49-F238E27FC236}">
              <a16:creationId xmlns:a16="http://schemas.microsoft.com/office/drawing/2014/main" id="{19C3F3D5-27BF-DC54-A93A-05FF948B58F5}"/>
            </a:ext>
          </a:extLst>
        </xdr:cNvPr>
        <xdr:cNvSpPr txBox="1"/>
      </xdr:nvSpPr>
      <xdr:spPr>
        <a:xfrm>
          <a:off x="1051668" y="3788975"/>
          <a:ext cx="1121118" cy="272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8DB89413-A662-446F-BE29-01C832743350}" type="TxLink">
            <a:rPr lang="en-US" sz="1600" b="1" i="0" u="none" strike="noStrike">
              <a:solidFill>
                <a:srgbClr val="E5B244"/>
              </a:solidFill>
              <a:latin typeface="Aptos Narrow"/>
            </a:rPr>
            <a:pPr algn="r"/>
            <a:t>11</a:t>
          </a:fld>
          <a:endParaRPr lang="en-GB" sz="1600" b="1">
            <a:solidFill>
              <a:srgbClr val="E5B244"/>
            </a:solidFill>
            <a:latin typeface="Kulim Park"/>
          </a:endParaRPr>
        </a:p>
      </xdr:txBody>
    </xdr:sp>
    <xdr:clientData/>
  </xdr:twoCellAnchor>
  <xdr:twoCellAnchor>
    <xdr:from>
      <xdr:col>2</xdr:col>
      <xdr:colOff>207583</xdr:colOff>
      <xdr:row>22</xdr:row>
      <xdr:rowOff>128647</xdr:rowOff>
    </xdr:from>
    <xdr:to>
      <xdr:col>4</xdr:col>
      <xdr:colOff>105164</xdr:colOff>
      <xdr:row>24</xdr:row>
      <xdr:rowOff>61468</xdr:rowOff>
    </xdr:to>
    <xdr:sp macro="" textlink="'Pivot table'!R17">
      <xdr:nvSpPr>
        <xdr:cNvPr id="127" name="TextBox 126">
          <a:extLst>
            <a:ext uri="{FF2B5EF4-FFF2-40B4-BE49-F238E27FC236}">
              <a16:creationId xmlns:a16="http://schemas.microsoft.com/office/drawing/2014/main" id="{D2832AB0-1D68-E7FF-9D32-3F5F371CE8AA}"/>
            </a:ext>
          </a:extLst>
        </xdr:cNvPr>
        <xdr:cNvSpPr txBox="1"/>
      </xdr:nvSpPr>
      <xdr:spPr>
        <a:xfrm>
          <a:off x="1051668" y="4047062"/>
          <a:ext cx="1121118" cy="289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1C2634F4-B032-4348-83C8-F6B8FD30E29B}" type="TxLink">
            <a:rPr lang="en-US" sz="1600" b="1" i="0" u="none" strike="noStrike">
              <a:solidFill>
                <a:srgbClr val="E5B244"/>
              </a:solidFill>
              <a:latin typeface="Aptos Narrow"/>
            </a:rPr>
            <a:pPr algn="r"/>
            <a:t>9</a:t>
          </a:fld>
          <a:endParaRPr lang="en-GB" sz="1600" b="1">
            <a:solidFill>
              <a:srgbClr val="E5B244"/>
            </a:solidFill>
            <a:latin typeface="Kulim Park"/>
          </a:endParaRPr>
        </a:p>
      </xdr:txBody>
    </xdr:sp>
    <xdr:clientData/>
  </xdr:twoCellAnchor>
  <xdr:twoCellAnchor>
    <xdr:from>
      <xdr:col>1</xdr:col>
      <xdr:colOff>268932</xdr:colOff>
      <xdr:row>13</xdr:row>
      <xdr:rowOff>56987</xdr:rowOff>
    </xdr:from>
    <xdr:to>
      <xdr:col>3</xdr:col>
      <xdr:colOff>252372</xdr:colOff>
      <xdr:row>17</xdr:row>
      <xdr:rowOff>17415</xdr:rowOff>
    </xdr:to>
    <xdr:sp macro="" textlink="">
      <xdr:nvSpPr>
        <xdr:cNvPr id="131" name="TextBox 130">
          <a:extLst>
            <a:ext uri="{FF2B5EF4-FFF2-40B4-BE49-F238E27FC236}">
              <a16:creationId xmlns:a16="http://schemas.microsoft.com/office/drawing/2014/main" id="{F899A5E3-B8B8-403F-ADD9-BDE4C759431B}"/>
            </a:ext>
          </a:extLst>
        </xdr:cNvPr>
        <xdr:cNvSpPr txBox="1"/>
      </xdr:nvSpPr>
      <xdr:spPr>
        <a:xfrm>
          <a:off x="496881" y="2385320"/>
          <a:ext cx="1204594" cy="676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600" b="1">
              <a:solidFill>
                <a:srgbClr val="E5B244"/>
              </a:solidFill>
              <a:latin typeface="Kulim Park"/>
            </a:rPr>
            <a:t>Skills</a:t>
          </a:r>
        </a:p>
        <a:p>
          <a:pPr algn="l"/>
          <a:r>
            <a:rPr lang="en-GB" sz="1600" b="1">
              <a:solidFill>
                <a:srgbClr val="E5B244"/>
              </a:solidFill>
              <a:latin typeface="Kulim Park"/>
            </a:rPr>
            <a:t>BreakDown</a:t>
          </a:r>
        </a:p>
      </xdr:txBody>
    </xdr:sp>
    <xdr:clientData/>
  </xdr:twoCellAnchor>
  <xdr:twoCellAnchor editAs="oneCell">
    <xdr:from>
      <xdr:col>2</xdr:col>
      <xdr:colOff>24422</xdr:colOff>
      <xdr:row>8</xdr:row>
      <xdr:rowOff>2605</xdr:rowOff>
    </xdr:from>
    <xdr:to>
      <xdr:col>3</xdr:col>
      <xdr:colOff>455896</xdr:colOff>
      <xdr:row>13</xdr:row>
      <xdr:rowOff>149144</xdr:rowOff>
    </xdr:to>
    <xdr:pic>
      <xdr:nvPicPr>
        <xdr:cNvPr id="133" name="Graphic 132" descr="Head with gears with solid fill">
          <a:extLst>
            <a:ext uri="{FF2B5EF4-FFF2-40B4-BE49-F238E27FC236}">
              <a16:creationId xmlns:a16="http://schemas.microsoft.com/office/drawing/2014/main" id="{842A87B0-458D-072B-67A7-736EE5DC42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2948" y="1435426"/>
          <a:ext cx="1042051" cy="1042051"/>
        </a:xfrm>
        <a:prstGeom prst="rect">
          <a:avLst/>
        </a:prstGeom>
      </xdr:spPr>
    </xdr:pic>
    <xdr:clientData/>
  </xdr:twoCellAnchor>
  <xdr:twoCellAnchor>
    <xdr:from>
      <xdr:col>5</xdr:col>
      <xdr:colOff>37318</xdr:colOff>
      <xdr:row>9</xdr:row>
      <xdr:rowOff>8700</xdr:rowOff>
    </xdr:from>
    <xdr:to>
      <xdr:col>6</xdr:col>
      <xdr:colOff>167799</xdr:colOff>
      <xdr:row>13</xdr:row>
      <xdr:rowOff>17398</xdr:rowOff>
    </xdr:to>
    <xdr:sp macro="" textlink="'Pivot table'!J24">
      <xdr:nvSpPr>
        <xdr:cNvPr id="136" name="TextBox 135">
          <a:extLst>
            <a:ext uri="{FF2B5EF4-FFF2-40B4-BE49-F238E27FC236}">
              <a16:creationId xmlns:a16="http://schemas.microsoft.com/office/drawing/2014/main" id="{D016564F-94F2-6A70-619B-06444D5CFB23}"/>
            </a:ext>
          </a:extLst>
        </xdr:cNvPr>
        <xdr:cNvSpPr txBox="1"/>
      </xdr:nvSpPr>
      <xdr:spPr>
        <a:xfrm>
          <a:off x="2720705" y="1575716"/>
          <a:ext cx="744997" cy="705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2FFC600-070B-4795-B4F5-3A402C5D10BE}" type="TxLink">
            <a:rPr lang="en-US" sz="4000" b="1" i="0" u="none" strike="noStrike" baseline="0">
              <a:solidFill>
                <a:schemeClr val="bg1"/>
              </a:solidFill>
              <a:latin typeface="Aptos Narrow"/>
            </a:rPr>
            <a:pPr/>
            <a:t>50</a:t>
          </a:fld>
          <a:endParaRPr lang="en-GB" sz="4000" b="1">
            <a:solidFill>
              <a:schemeClr val="bg1"/>
            </a:solidFill>
            <a:latin typeface="Kulim Park"/>
          </a:endParaRPr>
        </a:p>
      </xdr:txBody>
    </xdr:sp>
    <xdr:clientData/>
  </xdr:twoCellAnchor>
  <xdr:twoCellAnchor>
    <xdr:from>
      <xdr:col>4</xdr:col>
      <xdr:colOff>567635</xdr:colOff>
      <xdr:row>12</xdr:row>
      <xdr:rowOff>58736</xdr:rowOff>
    </xdr:from>
    <xdr:to>
      <xdr:col>7</xdr:col>
      <xdr:colOff>295753</xdr:colOff>
      <xdr:row>14</xdr:row>
      <xdr:rowOff>113082</xdr:rowOff>
    </xdr:to>
    <xdr:sp macro="" textlink="">
      <xdr:nvSpPr>
        <xdr:cNvPr id="139" name="TextBox 138">
          <a:extLst>
            <a:ext uri="{FF2B5EF4-FFF2-40B4-BE49-F238E27FC236}">
              <a16:creationId xmlns:a16="http://schemas.microsoft.com/office/drawing/2014/main" id="{A154209B-EF1F-DEDE-3E95-8D5AF8D9AA7E}"/>
            </a:ext>
          </a:extLst>
        </xdr:cNvPr>
        <xdr:cNvSpPr txBox="1"/>
      </xdr:nvSpPr>
      <xdr:spPr>
        <a:xfrm>
          <a:off x="2620512" y="2146407"/>
          <a:ext cx="1554830" cy="402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050" b="1" baseline="0">
              <a:solidFill>
                <a:schemeClr val="bg1"/>
              </a:solidFill>
              <a:latin typeface="Kulim Park"/>
            </a:rPr>
            <a:t>Total Employees</a:t>
          </a:r>
        </a:p>
        <a:p>
          <a:endParaRPr lang="en-GB" sz="1100" b="1">
            <a:solidFill>
              <a:srgbClr val="E5B244"/>
            </a:solidFill>
            <a:latin typeface="Kulim Park"/>
          </a:endParaRPr>
        </a:p>
      </xdr:txBody>
    </xdr:sp>
    <xdr:clientData/>
  </xdr:twoCellAnchor>
  <xdr:twoCellAnchor>
    <xdr:from>
      <xdr:col>4</xdr:col>
      <xdr:colOff>541541</xdr:colOff>
      <xdr:row>7</xdr:row>
      <xdr:rowOff>156576</xdr:rowOff>
    </xdr:from>
    <xdr:to>
      <xdr:col>8</xdr:col>
      <xdr:colOff>17398</xdr:colOff>
      <xdr:row>9</xdr:row>
      <xdr:rowOff>116241</xdr:rowOff>
    </xdr:to>
    <xdr:sp macro="" textlink="">
      <xdr:nvSpPr>
        <xdr:cNvPr id="140" name="TextBox 139">
          <a:extLst>
            <a:ext uri="{FF2B5EF4-FFF2-40B4-BE49-F238E27FC236}">
              <a16:creationId xmlns:a16="http://schemas.microsoft.com/office/drawing/2014/main" id="{2A284E6F-1EA8-8F0C-179E-9E5F02FBC1BE}"/>
            </a:ext>
          </a:extLst>
        </xdr:cNvPr>
        <xdr:cNvSpPr txBox="1"/>
      </xdr:nvSpPr>
      <xdr:spPr>
        <a:xfrm>
          <a:off x="2594418" y="1374384"/>
          <a:ext cx="1911473" cy="307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Employees Number</a:t>
          </a:r>
        </a:p>
        <a:p>
          <a:endParaRPr lang="en-GB" sz="1100" b="1">
            <a:solidFill>
              <a:srgbClr val="E5B244"/>
            </a:solidFill>
            <a:latin typeface="Kulim Park"/>
          </a:endParaRPr>
        </a:p>
      </xdr:txBody>
    </xdr:sp>
    <xdr:clientData/>
  </xdr:twoCellAnchor>
  <xdr:twoCellAnchor editAs="oneCell">
    <xdr:from>
      <xdr:col>6</xdr:col>
      <xdr:colOff>430161</xdr:colOff>
      <xdr:row>8</xdr:row>
      <xdr:rowOff>40966</xdr:rowOff>
    </xdr:from>
    <xdr:to>
      <xdr:col>8</xdr:col>
      <xdr:colOff>475529</xdr:colOff>
      <xdr:row>15</xdr:row>
      <xdr:rowOff>96575</xdr:rowOff>
    </xdr:to>
    <xdr:pic>
      <xdr:nvPicPr>
        <xdr:cNvPr id="142" name="Graphic 141" descr="Users with solid fill">
          <a:extLst>
            <a:ext uri="{FF2B5EF4-FFF2-40B4-BE49-F238E27FC236}">
              <a16:creationId xmlns:a16="http://schemas.microsoft.com/office/drawing/2014/main" id="{B045637A-9EA1-7C54-69A3-BE0226A9C3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728064" y="1433869"/>
          <a:ext cx="1274400" cy="1274400"/>
        </a:xfrm>
        <a:prstGeom prst="rect">
          <a:avLst/>
        </a:prstGeom>
      </xdr:spPr>
    </xdr:pic>
    <xdr:clientData/>
  </xdr:twoCellAnchor>
  <xdr:twoCellAnchor>
    <xdr:from>
      <xdr:col>4</xdr:col>
      <xdr:colOff>531298</xdr:colOff>
      <xdr:row>14</xdr:row>
      <xdr:rowOff>147827</xdr:rowOff>
    </xdr:from>
    <xdr:to>
      <xdr:col>6</xdr:col>
      <xdr:colOff>428879</xdr:colOff>
      <xdr:row>16</xdr:row>
      <xdr:rowOff>66014</xdr:rowOff>
    </xdr:to>
    <xdr:sp macro="" textlink="">
      <xdr:nvSpPr>
        <xdr:cNvPr id="147" name="TextBox 146">
          <a:extLst>
            <a:ext uri="{FF2B5EF4-FFF2-40B4-BE49-F238E27FC236}">
              <a16:creationId xmlns:a16="http://schemas.microsoft.com/office/drawing/2014/main" id="{41FA3A35-D195-58E1-3EA9-025691208142}"/>
            </a:ext>
          </a:extLst>
        </xdr:cNvPr>
        <xdr:cNvSpPr txBox="1"/>
      </xdr:nvSpPr>
      <xdr:spPr>
        <a:xfrm>
          <a:off x="2600169" y="2585408"/>
          <a:ext cx="1126613" cy="26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Males</a:t>
          </a:r>
        </a:p>
        <a:p>
          <a:endParaRPr lang="en-GB" sz="1100" b="1">
            <a:solidFill>
              <a:srgbClr val="E5B244"/>
            </a:solidFill>
            <a:latin typeface="Kulim Park"/>
          </a:endParaRPr>
        </a:p>
      </xdr:txBody>
    </xdr:sp>
    <xdr:clientData/>
  </xdr:twoCellAnchor>
  <xdr:twoCellAnchor>
    <xdr:from>
      <xdr:col>6</xdr:col>
      <xdr:colOff>541540</xdr:colOff>
      <xdr:row>14</xdr:row>
      <xdr:rowOff>147827</xdr:rowOff>
    </xdr:from>
    <xdr:to>
      <xdr:col>8</xdr:col>
      <xdr:colOff>439121</xdr:colOff>
      <xdr:row>16</xdr:row>
      <xdr:rowOff>66014</xdr:rowOff>
    </xdr:to>
    <xdr:sp macro="" textlink="">
      <xdr:nvSpPr>
        <xdr:cNvPr id="148" name="TextBox 147">
          <a:extLst>
            <a:ext uri="{FF2B5EF4-FFF2-40B4-BE49-F238E27FC236}">
              <a16:creationId xmlns:a16="http://schemas.microsoft.com/office/drawing/2014/main" id="{2F76B1F6-4696-59BA-0306-AFCD2C3C00C3}"/>
            </a:ext>
          </a:extLst>
        </xdr:cNvPr>
        <xdr:cNvSpPr txBox="1"/>
      </xdr:nvSpPr>
      <xdr:spPr>
        <a:xfrm>
          <a:off x="3839443" y="2585408"/>
          <a:ext cx="1126613" cy="26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Females</a:t>
          </a:r>
        </a:p>
        <a:p>
          <a:endParaRPr lang="en-GB" sz="1100" b="1">
            <a:solidFill>
              <a:srgbClr val="E5B244"/>
            </a:solidFill>
            <a:latin typeface="Kulim Park"/>
          </a:endParaRPr>
        </a:p>
      </xdr:txBody>
    </xdr:sp>
    <xdr:clientData/>
  </xdr:twoCellAnchor>
  <xdr:twoCellAnchor>
    <xdr:from>
      <xdr:col>6</xdr:col>
      <xdr:colOff>501855</xdr:colOff>
      <xdr:row>15</xdr:row>
      <xdr:rowOff>112662</xdr:rowOff>
    </xdr:from>
    <xdr:to>
      <xdr:col>8</xdr:col>
      <xdr:colOff>501855</xdr:colOff>
      <xdr:row>21</xdr:row>
      <xdr:rowOff>100779</xdr:rowOff>
    </xdr:to>
    <xdr:graphicFrame macro="">
      <xdr:nvGraphicFramePr>
        <xdr:cNvPr id="149" name="Chart 148">
          <a:extLst>
            <a:ext uri="{FF2B5EF4-FFF2-40B4-BE49-F238E27FC236}">
              <a16:creationId xmlns:a16="http://schemas.microsoft.com/office/drawing/2014/main" id="{410D5462-8D76-4EDD-9283-A269D87F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430161</xdr:colOff>
      <xdr:row>15</xdr:row>
      <xdr:rowOff>122906</xdr:rowOff>
    </xdr:from>
    <xdr:to>
      <xdr:col>6</xdr:col>
      <xdr:colOff>430161</xdr:colOff>
      <xdr:row>21</xdr:row>
      <xdr:rowOff>111023</xdr:rowOff>
    </xdr:to>
    <xdr:graphicFrame macro="">
      <xdr:nvGraphicFramePr>
        <xdr:cNvPr id="150" name="Chart 149">
          <a:extLst>
            <a:ext uri="{FF2B5EF4-FFF2-40B4-BE49-F238E27FC236}">
              <a16:creationId xmlns:a16="http://schemas.microsoft.com/office/drawing/2014/main" id="{7D4E18EB-EB15-4EFA-ACD7-AA77D410D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115893</xdr:colOff>
      <xdr:row>17</xdr:row>
      <xdr:rowOff>153010</xdr:rowOff>
    </xdr:from>
    <xdr:to>
      <xdr:col>6</xdr:col>
      <xdr:colOff>183615</xdr:colOff>
      <xdr:row>19</xdr:row>
      <xdr:rowOff>54304</xdr:rowOff>
    </xdr:to>
    <xdr:sp macro="" textlink="'Pivot table'!$K$22">
      <xdr:nvSpPr>
        <xdr:cNvPr id="151" name="TextBox 150">
          <a:extLst>
            <a:ext uri="{FF2B5EF4-FFF2-40B4-BE49-F238E27FC236}">
              <a16:creationId xmlns:a16="http://schemas.microsoft.com/office/drawing/2014/main" id="{17EA4E0F-6730-F243-00D8-7D83369CE42E}"/>
            </a:ext>
          </a:extLst>
        </xdr:cNvPr>
        <xdr:cNvSpPr txBox="1"/>
      </xdr:nvSpPr>
      <xdr:spPr>
        <a:xfrm>
          <a:off x="2793604" y="3144396"/>
          <a:ext cx="679770" cy="253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EB49740-1587-403E-821F-72789057F897}" type="TxLink">
            <a:rPr lang="en-US" sz="1400" b="1" i="0" u="none" strike="noStrike">
              <a:solidFill>
                <a:schemeClr val="bg1"/>
              </a:solidFill>
              <a:latin typeface="Aptos Narrow"/>
            </a:rPr>
            <a:pPr algn="ctr"/>
            <a:t>52%</a:t>
          </a:fld>
          <a:endParaRPr lang="en-GB" sz="1400" b="1">
            <a:solidFill>
              <a:schemeClr val="bg1"/>
            </a:solidFill>
            <a:latin typeface="Kulim Park"/>
          </a:endParaRPr>
        </a:p>
      </xdr:txBody>
    </xdr:sp>
    <xdr:clientData/>
  </xdr:twoCellAnchor>
  <xdr:twoCellAnchor>
    <xdr:from>
      <xdr:col>7</xdr:col>
      <xdr:colOff>177098</xdr:colOff>
      <xdr:row>17</xdr:row>
      <xdr:rowOff>153010</xdr:rowOff>
    </xdr:from>
    <xdr:to>
      <xdr:col>8</xdr:col>
      <xdr:colOff>244820</xdr:colOff>
      <xdr:row>19</xdr:row>
      <xdr:rowOff>54304</xdr:rowOff>
    </xdr:to>
    <xdr:sp macro="" textlink="'Pivot table'!$K$23">
      <xdr:nvSpPr>
        <xdr:cNvPr id="152" name="TextBox 151">
          <a:extLst>
            <a:ext uri="{FF2B5EF4-FFF2-40B4-BE49-F238E27FC236}">
              <a16:creationId xmlns:a16="http://schemas.microsoft.com/office/drawing/2014/main" id="{391BAF7D-AEE9-02D7-A2D7-4EF9807F6A06}"/>
            </a:ext>
          </a:extLst>
        </xdr:cNvPr>
        <xdr:cNvSpPr txBox="1"/>
      </xdr:nvSpPr>
      <xdr:spPr>
        <a:xfrm>
          <a:off x="4078905" y="3144396"/>
          <a:ext cx="679770" cy="253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4D99C96-1345-41B5-8D8A-3AAD8A1D3485}" type="TxLink">
            <a:rPr lang="en-US" sz="1400" b="1" i="0" u="none" strike="noStrike">
              <a:solidFill>
                <a:schemeClr val="bg1"/>
              </a:solidFill>
              <a:latin typeface="Aptos Narrow"/>
            </a:rPr>
            <a:pPr algn="ctr"/>
            <a:t>48%</a:t>
          </a:fld>
          <a:endParaRPr lang="en-GB" sz="1400" b="1">
            <a:solidFill>
              <a:schemeClr val="bg1"/>
            </a:solidFill>
            <a:latin typeface="Kulim Park"/>
          </a:endParaRPr>
        </a:p>
      </xdr:txBody>
    </xdr:sp>
    <xdr:clientData/>
  </xdr:twoCellAnchor>
  <xdr:twoCellAnchor>
    <xdr:from>
      <xdr:col>9</xdr:col>
      <xdr:colOff>134948</xdr:colOff>
      <xdr:row>9</xdr:row>
      <xdr:rowOff>88763</xdr:rowOff>
    </xdr:from>
    <xdr:to>
      <xdr:col>13</xdr:col>
      <xdr:colOff>61450</xdr:colOff>
      <xdr:row>18</xdr:row>
      <xdr:rowOff>116075</xdr:rowOff>
    </xdr:to>
    <xdr:graphicFrame macro="">
      <xdr:nvGraphicFramePr>
        <xdr:cNvPr id="153" name="Chart 152">
          <a:extLst>
            <a:ext uri="{FF2B5EF4-FFF2-40B4-BE49-F238E27FC236}">
              <a16:creationId xmlns:a16="http://schemas.microsoft.com/office/drawing/2014/main" id="{95882296-9FCE-473B-B203-280879229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170457</xdr:colOff>
      <xdr:row>17</xdr:row>
      <xdr:rowOff>175770</xdr:rowOff>
    </xdr:from>
    <xdr:to>
      <xdr:col>11</xdr:col>
      <xdr:colOff>28101</xdr:colOff>
      <xdr:row>19</xdr:row>
      <xdr:rowOff>102238</xdr:rowOff>
    </xdr:to>
    <xdr:sp macro="" textlink="">
      <xdr:nvSpPr>
        <xdr:cNvPr id="43" name="TextBox 42">
          <a:extLst>
            <a:ext uri="{FF2B5EF4-FFF2-40B4-BE49-F238E27FC236}">
              <a16:creationId xmlns:a16="http://schemas.microsoft.com/office/drawing/2014/main" id="{EAAAF874-E413-6094-ECBB-259168421053}"/>
            </a:ext>
          </a:extLst>
        </xdr:cNvPr>
        <xdr:cNvSpPr txBox="1"/>
      </xdr:nvSpPr>
      <xdr:spPr>
        <a:xfrm>
          <a:off x="5257285" y="3193727"/>
          <a:ext cx="1073020" cy="281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Analyst</a:t>
          </a:r>
        </a:p>
        <a:p>
          <a:endParaRPr lang="en-GB" sz="1100">
            <a:solidFill>
              <a:schemeClr val="bg1"/>
            </a:solidFill>
            <a:latin typeface="Kulim Park"/>
          </a:endParaRPr>
        </a:p>
      </xdr:txBody>
    </xdr:sp>
    <xdr:clientData/>
  </xdr:twoCellAnchor>
  <xdr:twoCellAnchor>
    <xdr:from>
      <xdr:col>9</xdr:col>
      <xdr:colOff>157126</xdr:colOff>
      <xdr:row>18</xdr:row>
      <xdr:rowOff>98281</xdr:rowOff>
    </xdr:from>
    <xdr:to>
      <xdr:col>9</xdr:col>
      <xdr:colOff>230013</xdr:colOff>
      <xdr:row>18</xdr:row>
      <xdr:rowOff>175004</xdr:rowOff>
    </xdr:to>
    <xdr:sp macro="" textlink="">
      <xdr:nvSpPr>
        <xdr:cNvPr id="44" name="Oval 43">
          <a:extLst>
            <a:ext uri="{FF2B5EF4-FFF2-40B4-BE49-F238E27FC236}">
              <a16:creationId xmlns:a16="http://schemas.microsoft.com/office/drawing/2014/main" id="{1EDFFBA0-1291-F5C0-F5FD-17EAF047FE64}"/>
            </a:ext>
          </a:extLst>
        </xdr:cNvPr>
        <xdr:cNvSpPr/>
      </xdr:nvSpPr>
      <xdr:spPr>
        <a:xfrm>
          <a:off x="5243954" y="3293765"/>
          <a:ext cx="72887" cy="76723"/>
        </a:xfrm>
        <a:prstGeom prst="ellipse">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170457</xdr:colOff>
      <xdr:row>19</xdr:row>
      <xdr:rowOff>48739</xdr:rowOff>
    </xdr:from>
    <xdr:to>
      <xdr:col>11</xdr:col>
      <xdr:colOff>28101</xdr:colOff>
      <xdr:row>20</xdr:row>
      <xdr:rowOff>149930</xdr:rowOff>
    </xdr:to>
    <xdr:sp macro="" textlink="">
      <xdr:nvSpPr>
        <xdr:cNvPr id="45" name="TextBox 44">
          <a:extLst>
            <a:ext uri="{FF2B5EF4-FFF2-40B4-BE49-F238E27FC236}">
              <a16:creationId xmlns:a16="http://schemas.microsoft.com/office/drawing/2014/main" id="{D4212574-3E2B-03C6-2689-3407EF4AEDFE}"/>
            </a:ext>
          </a:extLst>
        </xdr:cNvPr>
        <xdr:cNvSpPr txBox="1"/>
      </xdr:nvSpPr>
      <xdr:spPr>
        <a:xfrm>
          <a:off x="5257285" y="3421750"/>
          <a:ext cx="1073020" cy="278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Developer</a:t>
          </a:r>
        </a:p>
        <a:p>
          <a:endParaRPr lang="en-GB" sz="1100">
            <a:solidFill>
              <a:schemeClr val="bg1"/>
            </a:solidFill>
            <a:latin typeface="Kulim Park"/>
          </a:endParaRPr>
        </a:p>
      </xdr:txBody>
    </xdr:sp>
    <xdr:clientData/>
  </xdr:twoCellAnchor>
  <xdr:twoCellAnchor>
    <xdr:from>
      <xdr:col>9</xdr:col>
      <xdr:colOff>157126</xdr:colOff>
      <xdr:row>19</xdr:row>
      <xdr:rowOff>140776</xdr:rowOff>
    </xdr:from>
    <xdr:to>
      <xdr:col>9</xdr:col>
      <xdr:colOff>230013</xdr:colOff>
      <xdr:row>20</xdr:row>
      <xdr:rowOff>39101</xdr:rowOff>
    </xdr:to>
    <xdr:sp macro="" textlink="">
      <xdr:nvSpPr>
        <xdr:cNvPr id="53" name="Oval 52">
          <a:extLst>
            <a:ext uri="{FF2B5EF4-FFF2-40B4-BE49-F238E27FC236}">
              <a16:creationId xmlns:a16="http://schemas.microsoft.com/office/drawing/2014/main" id="{364B3680-4F8F-D6FD-5AF5-BE8A9ACA91CB}"/>
            </a:ext>
          </a:extLst>
        </xdr:cNvPr>
        <xdr:cNvSpPr/>
      </xdr:nvSpPr>
      <xdr:spPr>
        <a:xfrm>
          <a:off x="5243954" y="3513787"/>
          <a:ext cx="72887" cy="75852"/>
        </a:xfrm>
        <a:prstGeom prst="ellipse">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301705</xdr:colOff>
      <xdr:row>17</xdr:row>
      <xdr:rowOff>175770</xdr:rowOff>
    </xdr:from>
    <xdr:to>
      <xdr:col>12</xdr:col>
      <xdr:colOff>159349</xdr:colOff>
      <xdr:row>19</xdr:row>
      <xdr:rowOff>102238</xdr:rowOff>
    </xdr:to>
    <xdr:sp macro="" textlink="">
      <xdr:nvSpPr>
        <xdr:cNvPr id="54" name="TextBox 53">
          <a:extLst>
            <a:ext uri="{FF2B5EF4-FFF2-40B4-BE49-F238E27FC236}">
              <a16:creationId xmlns:a16="http://schemas.microsoft.com/office/drawing/2014/main" id="{CF9EA7AA-0C76-6F50-E698-B608587CE911}"/>
            </a:ext>
          </a:extLst>
        </xdr:cNvPr>
        <xdr:cNvSpPr txBox="1"/>
      </xdr:nvSpPr>
      <xdr:spPr>
        <a:xfrm>
          <a:off x="5996221" y="3193727"/>
          <a:ext cx="1073020" cy="281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Manager</a:t>
          </a:r>
        </a:p>
      </xdr:txBody>
    </xdr:sp>
    <xdr:clientData/>
  </xdr:twoCellAnchor>
  <xdr:twoCellAnchor>
    <xdr:from>
      <xdr:col>10</xdr:col>
      <xdr:colOff>296026</xdr:colOff>
      <xdr:row>18</xdr:row>
      <xdr:rowOff>93084</xdr:rowOff>
    </xdr:from>
    <xdr:to>
      <xdr:col>10</xdr:col>
      <xdr:colOff>365539</xdr:colOff>
      <xdr:row>18</xdr:row>
      <xdr:rowOff>166132</xdr:rowOff>
    </xdr:to>
    <xdr:sp macro="" textlink="">
      <xdr:nvSpPr>
        <xdr:cNvPr id="56" name="Oval 55">
          <a:extLst>
            <a:ext uri="{FF2B5EF4-FFF2-40B4-BE49-F238E27FC236}">
              <a16:creationId xmlns:a16="http://schemas.microsoft.com/office/drawing/2014/main" id="{326A58B2-9571-4672-8FD2-35A91C376382}"/>
            </a:ext>
          </a:extLst>
        </xdr:cNvPr>
        <xdr:cNvSpPr/>
      </xdr:nvSpPr>
      <xdr:spPr>
        <a:xfrm>
          <a:off x="5990542" y="3288568"/>
          <a:ext cx="69513" cy="73048"/>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301705</xdr:colOff>
      <xdr:row>19</xdr:row>
      <xdr:rowOff>48739</xdr:rowOff>
    </xdr:from>
    <xdr:to>
      <xdr:col>12</xdr:col>
      <xdr:colOff>159349</xdr:colOff>
      <xdr:row>20</xdr:row>
      <xdr:rowOff>149930</xdr:rowOff>
    </xdr:to>
    <xdr:sp macro="" textlink="">
      <xdr:nvSpPr>
        <xdr:cNvPr id="57" name="TextBox 56">
          <a:extLst>
            <a:ext uri="{FF2B5EF4-FFF2-40B4-BE49-F238E27FC236}">
              <a16:creationId xmlns:a16="http://schemas.microsoft.com/office/drawing/2014/main" id="{4333B444-27C8-42E2-40A0-716C62787C6E}"/>
            </a:ext>
          </a:extLst>
        </xdr:cNvPr>
        <xdr:cNvSpPr txBox="1"/>
      </xdr:nvSpPr>
      <xdr:spPr>
        <a:xfrm>
          <a:off x="5996221" y="3421750"/>
          <a:ext cx="1073020" cy="278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Designer</a:t>
          </a:r>
        </a:p>
      </xdr:txBody>
    </xdr:sp>
    <xdr:clientData/>
  </xdr:twoCellAnchor>
  <xdr:twoCellAnchor>
    <xdr:from>
      <xdr:col>10</xdr:col>
      <xdr:colOff>296026</xdr:colOff>
      <xdr:row>19</xdr:row>
      <xdr:rowOff>140776</xdr:rowOff>
    </xdr:from>
    <xdr:to>
      <xdr:col>10</xdr:col>
      <xdr:colOff>365539</xdr:colOff>
      <xdr:row>20</xdr:row>
      <xdr:rowOff>39101</xdr:rowOff>
    </xdr:to>
    <xdr:sp macro="" textlink="">
      <xdr:nvSpPr>
        <xdr:cNvPr id="58" name="Oval 57">
          <a:extLst>
            <a:ext uri="{FF2B5EF4-FFF2-40B4-BE49-F238E27FC236}">
              <a16:creationId xmlns:a16="http://schemas.microsoft.com/office/drawing/2014/main" id="{7A64459F-0083-C729-2B5C-8C9E1A139E9E}"/>
            </a:ext>
          </a:extLst>
        </xdr:cNvPr>
        <xdr:cNvSpPr/>
      </xdr:nvSpPr>
      <xdr:spPr>
        <a:xfrm>
          <a:off x="5990542" y="3513787"/>
          <a:ext cx="69513" cy="75852"/>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415474</xdr:colOff>
      <xdr:row>17</xdr:row>
      <xdr:rowOff>170699</xdr:rowOff>
    </xdr:from>
    <xdr:to>
      <xdr:col>13</xdr:col>
      <xdr:colOff>273118</xdr:colOff>
      <xdr:row>19</xdr:row>
      <xdr:rowOff>97167</xdr:rowOff>
    </xdr:to>
    <xdr:sp macro="" textlink="">
      <xdr:nvSpPr>
        <xdr:cNvPr id="42" name="TextBox 41">
          <a:extLst>
            <a:ext uri="{FF2B5EF4-FFF2-40B4-BE49-F238E27FC236}">
              <a16:creationId xmlns:a16="http://schemas.microsoft.com/office/drawing/2014/main" id="{9880DEEC-3D65-14D1-7946-86955CDAF009}"/>
            </a:ext>
          </a:extLst>
        </xdr:cNvPr>
        <xdr:cNvSpPr txBox="1"/>
      </xdr:nvSpPr>
      <xdr:spPr>
        <a:xfrm>
          <a:off x="6717678" y="3188656"/>
          <a:ext cx="1073021" cy="281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Kulim Park"/>
            </a:rPr>
            <a:t>HR</a:t>
          </a:r>
          <a:r>
            <a:rPr lang="en-GB" sz="1100" baseline="0">
              <a:solidFill>
                <a:schemeClr val="bg1"/>
              </a:solidFill>
              <a:latin typeface="Kulim Park"/>
            </a:rPr>
            <a:t> Specialist</a:t>
          </a:r>
          <a:endParaRPr lang="en-GB" sz="1100">
            <a:solidFill>
              <a:schemeClr val="bg1"/>
            </a:solidFill>
            <a:latin typeface="Kulim Park"/>
          </a:endParaRPr>
        </a:p>
      </xdr:txBody>
    </xdr:sp>
    <xdr:clientData/>
  </xdr:twoCellAnchor>
  <xdr:twoCellAnchor>
    <xdr:from>
      <xdr:col>11</xdr:col>
      <xdr:colOff>409795</xdr:colOff>
      <xdr:row>18</xdr:row>
      <xdr:rowOff>93084</xdr:rowOff>
    </xdr:from>
    <xdr:to>
      <xdr:col>11</xdr:col>
      <xdr:colOff>480342</xdr:colOff>
      <xdr:row>18</xdr:row>
      <xdr:rowOff>166132</xdr:rowOff>
    </xdr:to>
    <xdr:sp macro="" textlink="">
      <xdr:nvSpPr>
        <xdr:cNvPr id="81" name="Oval 80">
          <a:extLst>
            <a:ext uri="{FF2B5EF4-FFF2-40B4-BE49-F238E27FC236}">
              <a16:creationId xmlns:a16="http://schemas.microsoft.com/office/drawing/2014/main" id="{C856AD19-30AD-DED5-9E7B-09AD8CD462CC}"/>
            </a:ext>
          </a:extLst>
        </xdr:cNvPr>
        <xdr:cNvSpPr/>
      </xdr:nvSpPr>
      <xdr:spPr>
        <a:xfrm>
          <a:off x="6711999" y="3288568"/>
          <a:ext cx="70547" cy="73048"/>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143385</xdr:colOff>
      <xdr:row>7</xdr:row>
      <xdr:rowOff>88763</xdr:rowOff>
    </xdr:from>
    <xdr:to>
      <xdr:col>12</xdr:col>
      <xdr:colOff>259463</xdr:colOff>
      <xdr:row>9</xdr:row>
      <xdr:rowOff>3450</xdr:rowOff>
    </xdr:to>
    <xdr:sp macro="" textlink="">
      <xdr:nvSpPr>
        <xdr:cNvPr id="97" name="TextBox 96">
          <a:extLst>
            <a:ext uri="{FF2B5EF4-FFF2-40B4-BE49-F238E27FC236}">
              <a16:creationId xmlns:a16="http://schemas.microsoft.com/office/drawing/2014/main" id="{8481EA00-A234-F0DD-82D8-3326948B8C32}"/>
            </a:ext>
          </a:extLst>
        </xdr:cNvPr>
        <xdr:cNvSpPr txBox="1"/>
      </xdr:nvSpPr>
      <xdr:spPr>
        <a:xfrm>
          <a:off x="5230213" y="1331451"/>
          <a:ext cx="1939142" cy="269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Leave Tracking</a:t>
          </a:r>
          <a:endParaRPr lang="en-GB" sz="1100" b="1">
            <a:solidFill>
              <a:srgbClr val="E5B244"/>
            </a:solidFill>
            <a:latin typeface="Kulim Park"/>
          </a:endParaRPr>
        </a:p>
      </xdr:txBody>
    </xdr:sp>
    <xdr:clientData/>
  </xdr:twoCellAnchor>
  <xdr:twoCellAnchor>
    <xdr:from>
      <xdr:col>9</xdr:col>
      <xdr:colOff>151035</xdr:colOff>
      <xdr:row>8</xdr:row>
      <xdr:rowOff>119940</xdr:rowOff>
    </xdr:from>
    <xdr:to>
      <xdr:col>12</xdr:col>
      <xdr:colOff>448670</xdr:colOff>
      <xdr:row>10</xdr:row>
      <xdr:rowOff>27967</xdr:rowOff>
    </xdr:to>
    <xdr:sp macro="" textlink="">
      <xdr:nvSpPr>
        <xdr:cNvPr id="98" name="TextBox 97">
          <a:extLst>
            <a:ext uri="{FF2B5EF4-FFF2-40B4-BE49-F238E27FC236}">
              <a16:creationId xmlns:a16="http://schemas.microsoft.com/office/drawing/2014/main" id="{444132E2-CBE4-9F64-F9A2-61C7FC60D00C}"/>
            </a:ext>
          </a:extLst>
        </xdr:cNvPr>
        <xdr:cNvSpPr txBox="1"/>
      </xdr:nvSpPr>
      <xdr:spPr>
        <a:xfrm>
          <a:off x="5237863" y="1540155"/>
          <a:ext cx="2120699" cy="263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Leave taken by job titles</a:t>
          </a:r>
          <a:endParaRPr lang="en-GB" sz="900" b="0">
            <a:solidFill>
              <a:schemeClr val="tx1">
                <a:lumMod val="50000"/>
                <a:lumOff val="50000"/>
              </a:schemeClr>
            </a:solidFill>
            <a:latin typeface="Kulim Park"/>
          </a:endParaRPr>
        </a:p>
      </xdr:txBody>
    </xdr:sp>
    <xdr:clientData/>
  </xdr:twoCellAnchor>
  <xdr:twoCellAnchor>
    <xdr:from>
      <xdr:col>13</xdr:col>
      <xdr:colOff>367807</xdr:colOff>
      <xdr:row>12</xdr:row>
      <xdr:rowOff>159987</xdr:rowOff>
    </xdr:from>
    <xdr:to>
      <xdr:col>17</xdr:col>
      <xdr:colOff>321624</xdr:colOff>
      <xdr:row>20</xdr:row>
      <xdr:rowOff>132276</xdr:rowOff>
    </xdr:to>
    <xdr:graphicFrame macro="">
      <xdr:nvGraphicFramePr>
        <xdr:cNvPr id="99" name="Chart 98">
          <a:extLst>
            <a:ext uri="{FF2B5EF4-FFF2-40B4-BE49-F238E27FC236}">
              <a16:creationId xmlns:a16="http://schemas.microsoft.com/office/drawing/2014/main" id="{9D9FA5FA-42F3-4382-827A-0750FD893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382275</xdr:colOff>
      <xdr:row>11</xdr:row>
      <xdr:rowOff>2223</xdr:rowOff>
    </xdr:from>
    <xdr:to>
      <xdr:col>15</xdr:col>
      <xdr:colOff>279856</xdr:colOff>
      <xdr:row>12</xdr:row>
      <xdr:rowOff>94521</xdr:rowOff>
    </xdr:to>
    <xdr:sp macro="" textlink="">
      <xdr:nvSpPr>
        <xdr:cNvPr id="100" name="TextBox 99">
          <a:extLst>
            <a:ext uri="{FF2B5EF4-FFF2-40B4-BE49-F238E27FC236}">
              <a16:creationId xmlns:a16="http://schemas.microsoft.com/office/drawing/2014/main" id="{3FA0CE8B-BFA4-D9F3-C973-4E6820C76186}"/>
            </a:ext>
          </a:extLst>
        </xdr:cNvPr>
        <xdr:cNvSpPr txBox="1"/>
      </xdr:nvSpPr>
      <xdr:spPr>
        <a:xfrm>
          <a:off x="7936301" y="1997937"/>
          <a:ext cx="1118100" cy="273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Regions </a:t>
          </a:r>
          <a:endParaRPr lang="en-GB" sz="1100" b="1">
            <a:solidFill>
              <a:srgbClr val="E5B244"/>
            </a:solidFill>
            <a:latin typeface="Kulim Park"/>
          </a:endParaRPr>
        </a:p>
      </xdr:txBody>
    </xdr:sp>
    <xdr:clientData/>
  </xdr:twoCellAnchor>
  <xdr:twoCellAnchor>
    <xdr:from>
      <xdr:col>13</xdr:col>
      <xdr:colOff>389925</xdr:colOff>
      <xdr:row>12</xdr:row>
      <xdr:rowOff>33483</xdr:rowOff>
    </xdr:from>
    <xdr:to>
      <xdr:col>17</xdr:col>
      <xdr:colOff>77300</xdr:colOff>
      <xdr:row>13</xdr:row>
      <xdr:rowOff>122939</xdr:rowOff>
    </xdr:to>
    <xdr:sp macro="" textlink="">
      <xdr:nvSpPr>
        <xdr:cNvPr id="101" name="TextBox 100">
          <a:extLst>
            <a:ext uri="{FF2B5EF4-FFF2-40B4-BE49-F238E27FC236}">
              <a16:creationId xmlns:a16="http://schemas.microsoft.com/office/drawing/2014/main" id="{2FDF9057-50E6-CF5D-C1F8-98FA9ACC82D0}"/>
            </a:ext>
          </a:extLst>
        </xdr:cNvPr>
        <xdr:cNvSpPr txBox="1"/>
      </xdr:nvSpPr>
      <xdr:spPr>
        <a:xfrm>
          <a:off x="7943951" y="2210626"/>
          <a:ext cx="2128414" cy="270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Employees per region</a:t>
          </a:r>
          <a:endParaRPr lang="en-GB" sz="900" b="0">
            <a:solidFill>
              <a:schemeClr val="tx1">
                <a:lumMod val="50000"/>
                <a:lumOff val="50000"/>
              </a:schemeClr>
            </a:solidFill>
            <a:latin typeface="Kulim Park"/>
          </a:endParaRPr>
        </a:p>
      </xdr:txBody>
    </xdr:sp>
    <xdr:clientData/>
  </xdr:twoCellAnchor>
  <xdr:twoCellAnchor>
    <xdr:from>
      <xdr:col>13</xdr:col>
      <xdr:colOff>499156</xdr:colOff>
      <xdr:row>4</xdr:row>
      <xdr:rowOff>88019</xdr:rowOff>
    </xdr:from>
    <xdr:to>
      <xdr:col>15</xdr:col>
      <xdr:colOff>229820</xdr:colOff>
      <xdr:row>8</xdr:row>
      <xdr:rowOff>123735</xdr:rowOff>
    </xdr:to>
    <xdr:sp macro="" textlink="'Pivot table'!X18">
      <xdr:nvSpPr>
        <xdr:cNvPr id="65" name="TextBox 64">
          <a:extLst>
            <a:ext uri="{FF2B5EF4-FFF2-40B4-BE49-F238E27FC236}">
              <a16:creationId xmlns:a16="http://schemas.microsoft.com/office/drawing/2014/main" id="{9BAF7190-D27F-AE36-3100-52D9D6AADED8}"/>
            </a:ext>
          </a:extLst>
        </xdr:cNvPr>
        <xdr:cNvSpPr txBox="1"/>
      </xdr:nvSpPr>
      <xdr:spPr>
        <a:xfrm>
          <a:off x="8042956" y="799219"/>
          <a:ext cx="949864" cy="74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21003E8-9E31-4363-BDD9-5CA1C70FC5B0}" type="TxLink">
            <a:rPr lang="en-US" sz="4400" b="1" i="0" u="none" strike="noStrike" baseline="0">
              <a:solidFill>
                <a:schemeClr val="bg1"/>
              </a:solidFill>
              <a:latin typeface="Aptos Narrow"/>
            </a:rPr>
            <a:pPr/>
            <a:t>2.6</a:t>
          </a:fld>
          <a:endParaRPr lang="en-GB" sz="4400" b="1">
            <a:solidFill>
              <a:schemeClr val="bg1"/>
            </a:solidFill>
            <a:latin typeface="Kulim Park"/>
          </a:endParaRPr>
        </a:p>
      </xdr:txBody>
    </xdr:sp>
    <xdr:clientData/>
  </xdr:twoCellAnchor>
  <xdr:twoCellAnchor>
    <xdr:from>
      <xdr:col>13</xdr:col>
      <xdr:colOff>469128</xdr:colOff>
      <xdr:row>7</xdr:row>
      <xdr:rowOff>173525</xdr:rowOff>
    </xdr:from>
    <xdr:to>
      <xdr:col>16</xdr:col>
      <xdr:colOff>197247</xdr:colOff>
      <xdr:row>10</xdr:row>
      <xdr:rowOff>50070</xdr:rowOff>
    </xdr:to>
    <xdr:sp macro="" textlink="">
      <xdr:nvSpPr>
        <xdr:cNvPr id="66" name="TextBox 65">
          <a:extLst>
            <a:ext uri="{FF2B5EF4-FFF2-40B4-BE49-F238E27FC236}">
              <a16:creationId xmlns:a16="http://schemas.microsoft.com/office/drawing/2014/main" id="{AFB88E30-B145-F416-972B-5817B0149FF7}"/>
            </a:ext>
          </a:extLst>
        </xdr:cNvPr>
        <xdr:cNvSpPr txBox="1"/>
      </xdr:nvSpPr>
      <xdr:spPr>
        <a:xfrm>
          <a:off x="8012928" y="1418125"/>
          <a:ext cx="1556919" cy="409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050" b="1" baseline="0">
              <a:solidFill>
                <a:schemeClr val="bg1"/>
              </a:solidFill>
              <a:latin typeface="Kulim Park"/>
            </a:rPr>
            <a:t>Average Rating</a:t>
          </a:r>
        </a:p>
        <a:p>
          <a:endParaRPr lang="en-GB" sz="1100" b="1">
            <a:solidFill>
              <a:srgbClr val="E5B244"/>
            </a:solidFill>
            <a:latin typeface="Kulim Park"/>
          </a:endParaRPr>
        </a:p>
      </xdr:txBody>
    </xdr:sp>
    <xdr:clientData/>
  </xdr:twoCellAnchor>
  <xdr:twoCellAnchor>
    <xdr:from>
      <xdr:col>13</xdr:col>
      <xdr:colOff>390738</xdr:colOff>
      <xdr:row>1</xdr:row>
      <xdr:rowOff>126647</xdr:rowOff>
    </xdr:from>
    <xdr:to>
      <xdr:col>17</xdr:col>
      <xdr:colOff>183706</xdr:colOff>
      <xdr:row>3</xdr:row>
      <xdr:rowOff>52797</xdr:rowOff>
    </xdr:to>
    <xdr:sp macro="" textlink="">
      <xdr:nvSpPr>
        <xdr:cNvPr id="75" name="TextBox 74">
          <a:extLst>
            <a:ext uri="{FF2B5EF4-FFF2-40B4-BE49-F238E27FC236}">
              <a16:creationId xmlns:a16="http://schemas.microsoft.com/office/drawing/2014/main" id="{2A753913-7F56-23F4-49A8-B222D268260D}"/>
            </a:ext>
          </a:extLst>
        </xdr:cNvPr>
        <xdr:cNvSpPr txBox="1"/>
      </xdr:nvSpPr>
      <xdr:spPr>
        <a:xfrm>
          <a:off x="7923752" y="300620"/>
          <a:ext cx="2228584" cy="274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baseline="0">
              <a:solidFill>
                <a:srgbClr val="E5B244"/>
              </a:solidFill>
              <a:latin typeface="Kulim Park"/>
            </a:rPr>
            <a:t>Performance Rating</a:t>
          </a:r>
          <a:endParaRPr lang="en-GB" sz="1100" b="1">
            <a:solidFill>
              <a:srgbClr val="E5B244"/>
            </a:solidFill>
            <a:latin typeface="Kulim Park"/>
          </a:endParaRPr>
        </a:p>
      </xdr:txBody>
    </xdr:sp>
    <xdr:clientData/>
  </xdr:twoCellAnchor>
  <xdr:twoCellAnchor>
    <xdr:from>
      <xdr:col>13</xdr:col>
      <xdr:colOff>405687</xdr:colOff>
      <xdr:row>3</xdr:row>
      <xdr:rowOff>3415</xdr:rowOff>
    </xdr:from>
    <xdr:to>
      <xdr:col>17</xdr:col>
      <xdr:colOff>91000</xdr:colOff>
      <xdr:row>4</xdr:row>
      <xdr:rowOff>85415</xdr:rowOff>
    </xdr:to>
    <xdr:sp macro="" textlink="">
      <xdr:nvSpPr>
        <xdr:cNvPr id="76" name="TextBox 75">
          <a:extLst>
            <a:ext uri="{FF2B5EF4-FFF2-40B4-BE49-F238E27FC236}">
              <a16:creationId xmlns:a16="http://schemas.microsoft.com/office/drawing/2014/main" id="{7AA8AF9D-6194-75AA-5233-C549B193CA42}"/>
            </a:ext>
          </a:extLst>
        </xdr:cNvPr>
        <xdr:cNvSpPr txBox="1"/>
      </xdr:nvSpPr>
      <xdr:spPr>
        <a:xfrm>
          <a:off x="7938701" y="525333"/>
          <a:ext cx="2120929" cy="255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Average performance rating</a:t>
          </a:r>
          <a:endParaRPr lang="en-GB" sz="900" b="0">
            <a:solidFill>
              <a:schemeClr val="tx1">
                <a:lumMod val="50000"/>
                <a:lumOff val="50000"/>
              </a:schemeClr>
            </a:solidFill>
            <a:latin typeface="Kulim Park"/>
          </a:endParaRPr>
        </a:p>
      </xdr:txBody>
    </xdr:sp>
    <xdr:clientData/>
  </xdr:twoCellAnchor>
  <xdr:twoCellAnchor editAs="oneCell">
    <xdr:from>
      <xdr:col>15</xdr:col>
      <xdr:colOff>480942</xdr:colOff>
      <xdr:row>4</xdr:row>
      <xdr:rowOff>33956</xdr:rowOff>
    </xdr:from>
    <xdr:to>
      <xdr:col>17</xdr:col>
      <xdr:colOff>364943</xdr:colOff>
      <xdr:row>10</xdr:row>
      <xdr:rowOff>53665</xdr:rowOff>
    </xdr:to>
    <xdr:pic>
      <xdr:nvPicPr>
        <xdr:cNvPr id="79" name="Graphic 78" descr="Bar graph with upward trend with solid fill">
          <a:extLst>
            <a:ext uri="{FF2B5EF4-FFF2-40B4-BE49-F238E27FC236}">
              <a16:creationId xmlns:a16="http://schemas.microsoft.com/office/drawing/2014/main" id="{58E64C66-C626-5A71-2F23-30C41453CAD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90655" y="734646"/>
          <a:ext cx="1110208" cy="1070743"/>
        </a:xfrm>
        <a:prstGeom prst="rect">
          <a:avLst/>
        </a:prstGeom>
      </xdr:spPr>
    </xdr:pic>
    <xdr:clientData/>
  </xdr:twoCellAnchor>
  <xdr:twoCellAnchor>
    <xdr:from>
      <xdr:col>1</xdr:col>
      <xdr:colOff>299254</xdr:colOff>
      <xdr:row>14</xdr:row>
      <xdr:rowOff>14597</xdr:rowOff>
    </xdr:from>
    <xdr:to>
      <xdr:col>1</xdr:col>
      <xdr:colOff>299254</xdr:colOff>
      <xdr:row>16</xdr:row>
      <xdr:rowOff>65689</xdr:rowOff>
    </xdr:to>
    <xdr:cxnSp macro="">
      <xdr:nvCxnSpPr>
        <xdr:cNvPr id="82" name="Straight Connector 81">
          <a:extLst>
            <a:ext uri="{FF2B5EF4-FFF2-40B4-BE49-F238E27FC236}">
              <a16:creationId xmlns:a16="http://schemas.microsoft.com/office/drawing/2014/main" id="{186AAB7D-7EDF-8B5C-4F46-2A1C3186518F}"/>
            </a:ext>
          </a:extLst>
        </xdr:cNvPr>
        <xdr:cNvCxnSpPr/>
      </xdr:nvCxnSpPr>
      <xdr:spPr>
        <a:xfrm>
          <a:off x="525518" y="2467011"/>
          <a:ext cx="0" cy="401437"/>
        </a:xfrm>
        <a:prstGeom prst="line">
          <a:avLst/>
        </a:prstGeom>
        <a:ln w="25400" cap="rnd">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106704</xdr:colOff>
      <xdr:row>3</xdr:row>
      <xdr:rowOff>52887</xdr:rowOff>
    </xdr:from>
    <xdr:to>
      <xdr:col>2</xdr:col>
      <xdr:colOff>351310</xdr:colOff>
      <xdr:row>8</xdr:row>
      <xdr:rowOff>36534</xdr:rowOff>
    </xdr:to>
    <xdr:pic>
      <xdr:nvPicPr>
        <xdr:cNvPr id="103" name="Graphic 102" descr="Target Audience with solid fill">
          <a:extLst>
            <a:ext uri="{FF2B5EF4-FFF2-40B4-BE49-F238E27FC236}">
              <a16:creationId xmlns:a16="http://schemas.microsoft.com/office/drawing/2014/main" id="{A911F3FF-1C3C-E2AF-A6C5-0AF0060308B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35304" y="586287"/>
          <a:ext cx="854206" cy="872647"/>
        </a:xfrm>
        <a:prstGeom prst="rect">
          <a:avLst/>
        </a:prstGeom>
      </xdr:spPr>
    </xdr:pic>
    <xdr:clientData/>
  </xdr:twoCellAnchor>
  <xdr:twoCellAnchor editAs="oneCell">
    <xdr:from>
      <xdr:col>1</xdr:col>
      <xdr:colOff>141497</xdr:colOff>
      <xdr:row>0</xdr:row>
      <xdr:rowOff>67733</xdr:rowOff>
    </xdr:from>
    <xdr:to>
      <xdr:col>2</xdr:col>
      <xdr:colOff>325212</xdr:colOff>
      <xdr:row>4</xdr:row>
      <xdr:rowOff>164462</xdr:rowOff>
    </xdr:to>
    <xdr:pic>
      <xdr:nvPicPr>
        <xdr:cNvPr id="107" name="Graphic 106" descr="Schoolhouse with solid fill">
          <a:extLst>
            <a:ext uri="{FF2B5EF4-FFF2-40B4-BE49-F238E27FC236}">
              <a16:creationId xmlns:a16="http://schemas.microsoft.com/office/drawing/2014/main" id="{067559BF-8BD1-5004-964D-B54B323D1B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70097" y="67733"/>
          <a:ext cx="793315" cy="807929"/>
        </a:xfrm>
        <a:prstGeom prst="rect">
          <a:avLst/>
        </a:prstGeom>
      </xdr:spPr>
    </xdr:pic>
    <xdr:clientData/>
  </xdr:twoCellAnchor>
  <xdr:twoCellAnchor>
    <xdr:from>
      <xdr:col>2</xdr:col>
      <xdr:colOff>261161</xdr:colOff>
      <xdr:row>0</xdr:row>
      <xdr:rowOff>151975</xdr:rowOff>
    </xdr:from>
    <xdr:to>
      <xdr:col>4</xdr:col>
      <xdr:colOff>392366</xdr:colOff>
      <xdr:row>4</xdr:row>
      <xdr:rowOff>25400</xdr:rowOff>
    </xdr:to>
    <xdr:sp macro="" textlink="">
      <xdr:nvSpPr>
        <xdr:cNvPr id="108" name="TextBox 107">
          <a:extLst>
            <a:ext uri="{FF2B5EF4-FFF2-40B4-BE49-F238E27FC236}">
              <a16:creationId xmlns:a16="http://schemas.microsoft.com/office/drawing/2014/main" id="{E8A8097D-2244-3BCE-67CC-F344B6AF6E8A}"/>
            </a:ext>
          </a:extLst>
        </xdr:cNvPr>
        <xdr:cNvSpPr txBox="1"/>
      </xdr:nvSpPr>
      <xdr:spPr>
        <a:xfrm>
          <a:off x="1099361" y="151975"/>
          <a:ext cx="1350405" cy="584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2800" b="1">
              <a:solidFill>
                <a:srgbClr val="E5B244"/>
              </a:solidFill>
              <a:latin typeface="Kulim Park"/>
            </a:rPr>
            <a:t>HR</a:t>
          </a:r>
        </a:p>
      </xdr:txBody>
    </xdr:sp>
    <xdr:clientData/>
  </xdr:twoCellAnchor>
  <xdr:twoCellAnchor>
    <xdr:from>
      <xdr:col>2</xdr:col>
      <xdr:colOff>261161</xdr:colOff>
      <xdr:row>3</xdr:row>
      <xdr:rowOff>12874</xdr:rowOff>
    </xdr:from>
    <xdr:to>
      <xdr:col>5</xdr:col>
      <xdr:colOff>345921</xdr:colOff>
      <xdr:row>4</xdr:row>
      <xdr:rowOff>150339</xdr:rowOff>
    </xdr:to>
    <xdr:sp macro="" textlink="">
      <xdr:nvSpPr>
        <xdr:cNvPr id="109" name="TextBox 108">
          <a:extLst>
            <a:ext uri="{FF2B5EF4-FFF2-40B4-BE49-F238E27FC236}">
              <a16:creationId xmlns:a16="http://schemas.microsoft.com/office/drawing/2014/main" id="{623E883D-E4E9-8DEA-CC3C-CA4F32CE8216}"/>
            </a:ext>
          </a:extLst>
        </xdr:cNvPr>
        <xdr:cNvSpPr txBox="1"/>
      </xdr:nvSpPr>
      <xdr:spPr>
        <a:xfrm>
          <a:off x="1099361" y="546274"/>
          <a:ext cx="1913560" cy="31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baseline="0">
              <a:solidFill>
                <a:srgbClr val="E5B244"/>
              </a:solidFill>
              <a:latin typeface="Kulim Park"/>
            </a:rPr>
            <a:t>Dashboard</a:t>
          </a:r>
        </a:p>
        <a:p>
          <a:endParaRPr lang="en-GB" sz="1100" b="1">
            <a:solidFill>
              <a:srgbClr val="E5B244"/>
            </a:solidFill>
            <a:latin typeface="Kulim Park"/>
          </a:endParaRPr>
        </a:p>
      </xdr:txBody>
    </xdr:sp>
    <xdr:clientData/>
  </xdr:twoCellAnchor>
  <xdr:twoCellAnchor>
    <xdr:from>
      <xdr:col>2</xdr:col>
      <xdr:colOff>261161</xdr:colOff>
      <xdr:row>4</xdr:row>
      <xdr:rowOff>119244</xdr:rowOff>
    </xdr:from>
    <xdr:to>
      <xdr:col>5</xdr:col>
      <xdr:colOff>558796</xdr:colOff>
      <xdr:row>6</xdr:row>
      <xdr:rowOff>27270</xdr:rowOff>
    </xdr:to>
    <xdr:sp macro="" textlink="">
      <xdr:nvSpPr>
        <xdr:cNvPr id="110" name="TextBox 109">
          <a:extLst>
            <a:ext uri="{FF2B5EF4-FFF2-40B4-BE49-F238E27FC236}">
              <a16:creationId xmlns:a16="http://schemas.microsoft.com/office/drawing/2014/main" id="{DB3BDC06-0061-33CE-B52B-A120C0A0ECA1}"/>
            </a:ext>
          </a:extLst>
        </xdr:cNvPr>
        <xdr:cNvSpPr txBox="1"/>
      </xdr:nvSpPr>
      <xdr:spPr>
        <a:xfrm>
          <a:off x="1099361" y="830444"/>
          <a:ext cx="2126435" cy="2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0" baseline="0">
              <a:solidFill>
                <a:schemeClr val="tx1">
                  <a:lumMod val="50000"/>
                  <a:lumOff val="50000"/>
                </a:schemeClr>
              </a:solidFill>
              <a:latin typeface="Kulim Park"/>
            </a:rPr>
            <a:t>Analyze and monitor the HR Department</a:t>
          </a:r>
          <a:endParaRPr lang="en-GB" sz="900" b="0">
            <a:solidFill>
              <a:schemeClr val="tx1">
                <a:lumMod val="50000"/>
                <a:lumOff val="50000"/>
              </a:schemeClr>
            </a:solidFill>
            <a:latin typeface="Kulim Park"/>
          </a:endParaRPr>
        </a:p>
      </xdr:txBody>
    </xdr:sp>
    <xdr:clientData/>
  </xdr:twoCellAnchor>
  <xdr:twoCellAnchor editAs="oneCell">
    <xdr:from>
      <xdr:col>5</xdr:col>
      <xdr:colOff>469726</xdr:colOff>
      <xdr:row>2</xdr:row>
      <xdr:rowOff>0</xdr:rowOff>
    </xdr:from>
    <xdr:to>
      <xdr:col>8</xdr:col>
      <xdr:colOff>504521</xdr:colOff>
      <xdr:row>5</xdr:row>
      <xdr:rowOff>156575</xdr:rowOff>
    </xdr:to>
    <mc:AlternateContent xmlns:mc="http://schemas.openxmlformats.org/markup-compatibility/2006" xmlns:a14="http://schemas.microsoft.com/office/drawing/2010/main">
      <mc:Choice Requires="a14">
        <xdr:graphicFrame macro="">
          <xdr:nvGraphicFramePr>
            <xdr:cNvPr id="111" name="Gender 1">
              <a:extLst>
                <a:ext uri="{FF2B5EF4-FFF2-40B4-BE49-F238E27FC236}">
                  <a16:creationId xmlns:a16="http://schemas.microsoft.com/office/drawing/2014/main" id="{908CBEEC-6D9D-476C-AF02-305F6E7554E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136726" y="355600"/>
              <a:ext cx="1863595" cy="689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467551</xdr:colOff>
      <xdr:row>1</xdr:row>
      <xdr:rowOff>156575</xdr:rowOff>
    </xdr:from>
    <xdr:to>
      <xdr:col>13</xdr:col>
      <xdr:colOff>295751</xdr:colOff>
      <xdr:row>7</xdr:row>
      <xdr:rowOff>104384</xdr:rowOff>
    </xdr:to>
    <mc:AlternateContent xmlns:mc="http://schemas.openxmlformats.org/markup-compatibility/2006" xmlns:a14="http://schemas.microsoft.com/office/drawing/2010/main">
      <mc:Choice Requires="a14">
        <xdr:graphicFrame macro="">
          <xdr:nvGraphicFramePr>
            <xdr:cNvPr id="112" name="Department 1">
              <a:extLst>
                <a:ext uri="{FF2B5EF4-FFF2-40B4-BE49-F238E27FC236}">
                  <a16:creationId xmlns:a16="http://schemas.microsoft.com/office/drawing/2014/main" id="{1ECF4498-8C0B-4D0D-BB59-8E42F3104FD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963351" y="334375"/>
              <a:ext cx="2876200" cy="10146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538616</xdr:colOff>
      <xdr:row>1</xdr:row>
      <xdr:rowOff>144045</xdr:rowOff>
    </xdr:from>
    <xdr:to>
      <xdr:col>12</xdr:col>
      <xdr:colOff>331583</xdr:colOff>
      <xdr:row>3</xdr:row>
      <xdr:rowOff>70195</xdr:rowOff>
    </xdr:to>
    <xdr:sp macro="" textlink="">
      <xdr:nvSpPr>
        <xdr:cNvPr id="113" name="TextBox 112">
          <a:extLst>
            <a:ext uri="{FF2B5EF4-FFF2-40B4-BE49-F238E27FC236}">
              <a16:creationId xmlns:a16="http://schemas.microsoft.com/office/drawing/2014/main" id="{EAD3A6E0-A1F6-5D5A-0039-27F27E4258EB}"/>
            </a:ext>
          </a:extLst>
        </xdr:cNvPr>
        <xdr:cNvSpPr txBox="1"/>
      </xdr:nvSpPr>
      <xdr:spPr>
        <a:xfrm>
          <a:off x="5011631" y="321471"/>
          <a:ext cx="2220908" cy="281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400" b="1" baseline="0">
              <a:solidFill>
                <a:schemeClr val="bg1"/>
              </a:solidFill>
              <a:latin typeface="Kulim Park"/>
            </a:rPr>
            <a:t>Filter by department</a:t>
          </a:r>
          <a:endParaRPr lang="en-GB" sz="1100" b="1">
            <a:solidFill>
              <a:schemeClr val="bg1"/>
            </a:solidFill>
            <a:latin typeface="Kulim Park"/>
          </a:endParaRPr>
        </a:p>
      </xdr:txBody>
    </xdr:sp>
    <xdr:clientData/>
  </xdr:twoCellAnchor>
  <xdr:twoCellAnchor>
    <xdr:from>
      <xdr:col>5</xdr:col>
      <xdr:colOff>489170</xdr:colOff>
      <xdr:row>1</xdr:row>
      <xdr:rowOff>144045</xdr:rowOff>
    </xdr:from>
    <xdr:to>
      <xdr:col>8</xdr:col>
      <xdr:colOff>74588</xdr:colOff>
      <xdr:row>3</xdr:row>
      <xdr:rowOff>78861</xdr:rowOff>
    </xdr:to>
    <xdr:sp macro="" textlink="">
      <xdr:nvSpPr>
        <xdr:cNvPr id="114" name="TextBox 113">
          <a:extLst>
            <a:ext uri="{FF2B5EF4-FFF2-40B4-BE49-F238E27FC236}">
              <a16:creationId xmlns:a16="http://schemas.microsoft.com/office/drawing/2014/main" id="{1DF690A9-3227-516F-84D7-74C8C181C56E}"/>
            </a:ext>
          </a:extLst>
        </xdr:cNvPr>
        <xdr:cNvSpPr txBox="1"/>
      </xdr:nvSpPr>
      <xdr:spPr>
        <a:xfrm>
          <a:off x="3141229" y="321471"/>
          <a:ext cx="1406374" cy="289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GB" sz="1400" b="1" baseline="0">
              <a:solidFill>
                <a:schemeClr val="bg1"/>
              </a:solidFill>
              <a:latin typeface="Kulim Park"/>
            </a:rPr>
            <a:t>Filter by gender</a:t>
          </a:r>
          <a:endParaRPr lang="en-GB" sz="1100" b="1">
            <a:solidFill>
              <a:schemeClr val="bg1"/>
            </a:solidFill>
            <a:latin typeface="Kulim Park"/>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akishore Gnananandham" refreshedDate="46036.911068634261" createdVersion="8" refreshedVersion="8" minRefreshableVersion="3" recordCount="50" xr:uid="{BBDA4EAD-4435-4A4E-A738-74C51F4079BC}">
  <cacheSource type="worksheet">
    <worksheetSource name="Sheet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14">
      <sharedItems containsSemiMixedTypes="0" containsNonDate="0" containsDate="1" containsString="0" minDate="2014-12-09T00:00:00" maxDate="2024-09-04T00:00:00"/>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464842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d v="2019-03-15T00:00:00"/>
    <x v="0"/>
    <x v="0"/>
    <n v="53700"/>
    <s v="C"/>
    <n v="1463"/>
    <s v="Health"/>
    <n v="1"/>
    <n v="1"/>
    <s v="Leadership Training"/>
    <x v="0"/>
    <s v="Certified Professional"/>
  </r>
  <r>
    <n v="9116"/>
    <s v="Gary Garcia"/>
    <x v="1"/>
    <n v="27"/>
    <x v="1"/>
    <x v="1"/>
    <x v="1"/>
    <x v="1"/>
    <s v="Ashley Simmons MD"/>
    <d v="2022-12-20T00:00:00"/>
    <x v="0"/>
    <x v="1"/>
    <n v="91091"/>
    <s v="B"/>
    <n v="1024"/>
    <s v="None"/>
    <n v="19"/>
    <n v="4"/>
    <s v="Excel Workshop"/>
    <x v="0"/>
    <s v="Certified Professional"/>
  </r>
  <r>
    <n v="5120"/>
    <s v="Jeremy Nguyen"/>
    <x v="1"/>
    <n v="34"/>
    <x v="1"/>
    <x v="2"/>
    <x v="2"/>
    <x v="2"/>
    <s v="Cassandra Duncan"/>
    <d v="2022-08-10T00:00:00"/>
    <x v="0"/>
    <x v="2"/>
    <n v="57538"/>
    <s v="D"/>
    <n v="1674"/>
    <s v="None"/>
    <n v="8"/>
    <n v="1"/>
    <s v="None"/>
    <x v="1"/>
    <s v="Advanced Training"/>
  </r>
  <r>
    <n v="8071"/>
    <s v="Kimberly Jones"/>
    <x v="0"/>
    <n v="41"/>
    <x v="2"/>
    <x v="2"/>
    <x v="0"/>
    <x v="3"/>
    <s v="Janet Harris"/>
    <d v="2024-09-03T00:00:00"/>
    <x v="1"/>
    <x v="0"/>
    <n v="62993"/>
    <s v="A"/>
    <n v="2695"/>
    <s v="Health + Dental"/>
    <n v="0"/>
    <n v="2"/>
    <s v="None"/>
    <x v="2"/>
    <s v="None"/>
  </r>
  <r>
    <n v="9351"/>
    <s v="Anthony Gates"/>
    <x v="1"/>
    <n v="56"/>
    <x v="3"/>
    <x v="0"/>
    <x v="0"/>
    <x v="2"/>
    <s v="Mr. Frank Clay"/>
    <d v="2019-03-14T00:00:00"/>
    <x v="1"/>
    <x v="1"/>
    <n v="45773"/>
    <s v="A"/>
    <n v="8776"/>
    <s v="Health"/>
    <n v="16"/>
    <n v="4"/>
    <s v="Leadership Training"/>
    <x v="2"/>
    <s v="None"/>
  </r>
  <r>
    <n v="2873"/>
    <s v="Courtney Foster"/>
    <x v="0"/>
    <n v="28"/>
    <x v="1"/>
    <x v="2"/>
    <x v="3"/>
    <x v="2"/>
    <s v="Dorothy Price"/>
    <d v="2017-01-23T00:00:00"/>
    <x v="0"/>
    <x v="1"/>
    <n v="96249"/>
    <s v="C"/>
    <n v="4826"/>
    <s v="Health + Dental"/>
    <n v="7"/>
    <n v="3"/>
    <s v="Leadership Training"/>
    <x v="3"/>
    <s v="Certified Professional"/>
  </r>
  <r>
    <n v="3540"/>
    <s v="Catherine Hall"/>
    <x v="0"/>
    <n v="20"/>
    <x v="0"/>
    <x v="1"/>
    <x v="2"/>
    <x v="2"/>
    <s v="Michele Sexton"/>
    <d v="2024-08-17T00:00:00"/>
    <x v="0"/>
    <x v="2"/>
    <n v="61596"/>
    <s v="C"/>
    <n v="8818"/>
    <s v="Health + Dental"/>
    <n v="4"/>
    <n v="2"/>
    <s v="Leadership Training"/>
    <x v="1"/>
    <s v="None"/>
  </r>
  <r>
    <n v="3653"/>
    <s v="Deanna Ball"/>
    <x v="0"/>
    <n v="58"/>
    <x v="3"/>
    <x v="3"/>
    <x v="1"/>
    <x v="4"/>
    <s v="Richard Schmidt"/>
    <d v="2014-12-09T00:00:00"/>
    <x v="0"/>
    <x v="2"/>
    <n v="97869"/>
    <s v="A"/>
    <n v="1966"/>
    <s v="Health"/>
    <n v="10"/>
    <n v="1"/>
    <s v="Leadership Training"/>
    <x v="0"/>
    <s v="Certified Professional"/>
  </r>
  <r>
    <n v="5587"/>
    <s v="Candace Nelson"/>
    <x v="0"/>
    <n v="44"/>
    <x v="2"/>
    <x v="3"/>
    <x v="2"/>
    <x v="2"/>
    <s v="Teresa Pearson"/>
    <d v="2021-06-28T00:00:00"/>
    <x v="0"/>
    <x v="0"/>
    <n v="81235"/>
    <s v="A"/>
    <n v="6553"/>
    <s v="None"/>
    <n v="16"/>
    <n v="2"/>
    <s v="None"/>
    <x v="1"/>
    <s v="Certified Professional"/>
  </r>
  <r>
    <n v="9554"/>
    <s v="Mandy Davis"/>
    <x v="0"/>
    <n v="29"/>
    <x v="1"/>
    <x v="1"/>
    <x v="2"/>
    <x v="3"/>
    <s v="Laura Hart"/>
    <d v="2018-05-20T00:00:00"/>
    <x v="0"/>
    <x v="1"/>
    <n v="87852"/>
    <s v="A"/>
    <n v="4980"/>
    <s v="Health + Dental"/>
    <n v="19"/>
    <n v="3"/>
    <s v="None"/>
    <x v="2"/>
    <s v="Certified Professional"/>
  </r>
  <r>
    <n v="6213"/>
    <s v="Matthew Powell"/>
    <x v="1"/>
    <n v="23"/>
    <x v="0"/>
    <x v="3"/>
    <x v="0"/>
    <x v="2"/>
    <s v="Andrea May"/>
    <d v="2017-02-13T00:00:00"/>
    <x v="1"/>
    <x v="1"/>
    <n v="59359"/>
    <s v="A"/>
    <n v="9449"/>
    <s v="Health + Dental"/>
    <n v="20"/>
    <n v="3"/>
    <s v="None"/>
    <x v="1"/>
    <s v="None"/>
  </r>
  <r>
    <n v="9105"/>
    <s v="Bruce Nelson"/>
    <x v="1"/>
    <n v="30"/>
    <x v="1"/>
    <x v="0"/>
    <x v="1"/>
    <x v="0"/>
    <s v="Casey Martin"/>
    <d v="2024-05-05T00:00:00"/>
    <x v="1"/>
    <x v="2"/>
    <n v="81225"/>
    <s v="D"/>
    <n v="6202"/>
    <s v="Health + Dental"/>
    <n v="2"/>
    <n v="2"/>
    <s v="Excel Workshop"/>
    <x v="4"/>
    <s v="Certified Professional"/>
  </r>
  <r>
    <n v="9508"/>
    <s v="Dawn Cole"/>
    <x v="0"/>
    <n v="49"/>
    <x v="4"/>
    <x v="1"/>
    <x v="0"/>
    <x v="0"/>
    <s v="Amber Allen"/>
    <d v="2022-04-19T00:00:00"/>
    <x v="1"/>
    <x v="0"/>
    <n v="32788"/>
    <s v="D"/>
    <n v="4396"/>
    <s v="Health"/>
    <n v="13"/>
    <n v="5"/>
    <s v="None"/>
    <x v="3"/>
    <s v="Advanced Training"/>
  </r>
  <r>
    <n v="2436"/>
    <s v="Tanner Morse"/>
    <x v="1"/>
    <n v="60"/>
    <x v="3"/>
    <x v="4"/>
    <x v="0"/>
    <x v="3"/>
    <s v="Adam Johnson"/>
    <d v="2015-11-16T00:00:00"/>
    <x v="1"/>
    <x v="2"/>
    <n v="70452"/>
    <s v="D"/>
    <n v="9911"/>
    <s v="None"/>
    <n v="2"/>
    <n v="1"/>
    <s v="None"/>
    <x v="3"/>
    <s v="Certified Professional"/>
  </r>
  <r>
    <n v="4441"/>
    <s v="Jose Griffin"/>
    <x v="1"/>
    <n v="46"/>
    <x v="4"/>
    <x v="1"/>
    <x v="3"/>
    <x v="0"/>
    <s v="Nicole Dominguez"/>
    <d v="2023-09-09T00:00:00"/>
    <x v="0"/>
    <x v="1"/>
    <n v="33045"/>
    <s v="B"/>
    <n v="1456"/>
    <s v="None"/>
    <n v="16"/>
    <n v="3"/>
    <s v="Excel Workshop"/>
    <x v="3"/>
    <s v="None"/>
  </r>
  <r>
    <n v="5827"/>
    <s v="Daniel Hawkins"/>
    <x v="1"/>
    <n v="57"/>
    <x v="3"/>
    <x v="2"/>
    <x v="3"/>
    <x v="1"/>
    <s v="Andrew Best"/>
    <d v="2017-12-12T00:00:00"/>
    <x v="2"/>
    <x v="2"/>
    <n v="96429"/>
    <s v="C"/>
    <n v="4740"/>
    <s v="None"/>
    <n v="8"/>
    <n v="1"/>
    <s v="Excel Workshop"/>
    <x v="2"/>
    <s v="None"/>
  </r>
  <r>
    <n v="5184"/>
    <s v="Elaine Mcclain"/>
    <x v="0"/>
    <n v="24"/>
    <x v="0"/>
    <x v="1"/>
    <x v="2"/>
    <x v="2"/>
    <s v="Gabrielle Rodriguez"/>
    <d v="2017-03-10T00:00:00"/>
    <x v="2"/>
    <x v="2"/>
    <n v="33183"/>
    <s v="A"/>
    <n v="8114"/>
    <s v="None"/>
    <n v="4"/>
    <n v="2"/>
    <s v="Excel Workshop"/>
    <x v="4"/>
    <s v="Advanced Training"/>
  </r>
  <r>
    <n v="5874"/>
    <s v="Kimberly Jones"/>
    <x v="0"/>
    <n v="35"/>
    <x v="1"/>
    <x v="4"/>
    <x v="3"/>
    <x v="0"/>
    <s v="Allison Harvey"/>
    <d v="2019-03-04T00:00:00"/>
    <x v="2"/>
    <x v="0"/>
    <n v="75065"/>
    <s v="C"/>
    <n v="7123"/>
    <s v="None"/>
    <n v="20"/>
    <n v="2"/>
    <s v="None"/>
    <x v="0"/>
    <s v="Advanced Training"/>
  </r>
  <r>
    <n v="9834"/>
    <s v="Thomas Kramer"/>
    <x v="1"/>
    <n v="41"/>
    <x v="2"/>
    <x v="1"/>
    <x v="1"/>
    <x v="4"/>
    <s v="Tristan Mejia"/>
    <d v="2022-11-20T00:00:00"/>
    <x v="0"/>
    <x v="2"/>
    <n v="32877"/>
    <s v="C"/>
    <n v="6432"/>
    <s v="Health"/>
    <n v="11"/>
    <n v="1"/>
    <s v="None"/>
    <x v="0"/>
    <s v="None"/>
  </r>
  <r>
    <n v="5096"/>
    <s v="Kevin Whitaker"/>
    <x v="1"/>
    <n v="36"/>
    <x v="2"/>
    <x v="1"/>
    <x v="4"/>
    <x v="3"/>
    <s v="Mary Welch"/>
    <d v="2021-03-02T00:00:00"/>
    <x v="0"/>
    <x v="1"/>
    <n v="46811"/>
    <s v="D"/>
    <n v="1567"/>
    <s v="None"/>
    <n v="7"/>
    <n v="3"/>
    <s v="Excel Workshop"/>
    <x v="0"/>
    <s v="Advanced Training"/>
  </r>
  <r>
    <n v="2263"/>
    <s v="Dustin Carter"/>
    <x v="1"/>
    <n v="31"/>
    <x v="1"/>
    <x v="3"/>
    <x v="2"/>
    <x v="1"/>
    <s v="Douglas Miles"/>
    <d v="2021-08-01T00:00:00"/>
    <x v="1"/>
    <x v="1"/>
    <n v="87538"/>
    <s v="C"/>
    <n v="3588"/>
    <s v="Health + Dental"/>
    <n v="11"/>
    <n v="5"/>
    <s v="Excel Workshop"/>
    <x v="2"/>
    <s v="None"/>
  </r>
  <r>
    <n v="6505"/>
    <s v="Nicole Williamson"/>
    <x v="0"/>
    <n v="28"/>
    <x v="1"/>
    <x v="0"/>
    <x v="1"/>
    <x v="4"/>
    <s v="Jessica Fleming"/>
    <d v="2015-08-14T00:00:00"/>
    <x v="0"/>
    <x v="1"/>
    <n v="73002"/>
    <s v="C"/>
    <n v="6296"/>
    <s v="Health"/>
    <n v="2"/>
    <n v="5"/>
    <s v="Excel Workshop"/>
    <x v="1"/>
    <s v="Certified Professional"/>
  </r>
  <r>
    <n v="8626"/>
    <s v="Matthew Knight"/>
    <x v="1"/>
    <n v="37"/>
    <x v="2"/>
    <x v="3"/>
    <x v="1"/>
    <x v="3"/>
    <s v="Christine Lee"/>
    <d v="2015-10-21T00:00:00"/>
    <x v="2"/>
    <x v="2"/>
    <n v="41653"/>
    <s v="D"/>
    <n v="9236"/>
    <s v="None"/>
    <n v="13"/>
    <n v="1"/>
    <s v="Excel Workshop"/>
    <x v="0"/>
    <s v="None"/>
  </r>
  <r>
    <n v="5979"/>
    <s v="Donna Jones"/>
    <x v="0"/>
    <n v="31"/>
    <x v="1"/>
    <x v="0"/>
    <x v="0"/>
    <x v="2"/>
    <s v="Mario Smith DVM"/>
    <d v="2015-03-14T00:00:00"/>
    <x v="1"/>
    <x v="1"/>
    <n v="67582"/>
    <s v="A"/>
    <n v="1375"/>
    <s v="Health"/>
    <n v="20"/>
    <n v="3"/>
    <s v="Excel Workshop"/>
    <x v="1"/>
    <s v="None"/>
  </r>
  <r>
    <n v="3104"/>
    <s v="Carolyn Bullock"/>
    <x v="0"/>
    <n v="23"/>
    <x v="0"/>
    <x v="3"/>
    <x v="1"/>
    <x v="1"/>
    <s v="Joseph Francis"/>
    <d v="2024-05-22T00:00:00"/>
    <x v="2"/>
    <x v="1"/>
    <n v="37351"/>
    <s v="D"/>
    <n v="7858"/>
    <s v="Health + Dental"/>
    <n v="18"/>
    <n v="2"/>
    <s v="Leadership Training"/>
    <x v="1"/>
    <s v="Advanced Training"/>
  </r>
  <r>
    <n v="8967"/>
    <s v="Wendy Gomez"/>
    <x v="0"/>
    <n v="48"/>
    <x v="4"/>
    <x v="4"/>
    <x v="2"/>
    <x v="0"/>
    <s v="Sarah Young"/>
    <d v="2017-03-19T00:00:00"/>
    <x v="0"/>
    <x v="1"/>
    <n v="36721"/>
    <s v="B"/>
    <n v="8820"/>
    <s v="Health + Dental"/>
    <n v="0"/>
    <n v="2"/>
    <s v="Excel Workshop"/>
    <x v="1"/>
    <s v="Certified Professional"/>
  </r>
  <r>
    <n v="5087"/>
    <s v="Michael Thomas"/>
    <x v="1"/>
    <n v="28"/>
    <x v="1"/>
    <x v="2"/>
    <x v="4"/>
    <x v="0"/>
    <s v="Aaron Hart"/>
    <d v="2021-09-15T00:00:00"/>
    <x v="1"/>
    <x v="2"/>
    <n v="46326"/>
    <s v="B"/>
    <n v="9189"/>
    <s v="Health + Dental"/>
    <n v="8"/>
    <n v="4"/>
    <s v="Leadership Training"/>
    <x v="3"/>
    <s v="Advanced Training"/>
  </r>
  <r>
    <n v="3358"/>
    <s v="Kevin Bell"/>
    <x v="1"/>
    <n v="30"/>
    <x v="1"/>
    <x v="1"/>
    <x v="3"/>
    <x v="1"/>
    <s v="Brian Boyd"/>
    <d v="2022-05-09T00:00:00"/>
    <x v="0"/>
    <x v="0"/>
    <n v="59007"/>
    <s v="C"/>
    <n v="3380"/>
    <s v="Health"/>
    <n v="17"/>
    <n v="3"/>
    <s v="None"/>
    <x v="4"/>
    <s v="Certified Professional"/>
  </r>
  <r>
    <n v="8256"/>
    <s v="Richard Landry"/>
    <x v="1"/>
    <n v="46"/>
    <x v="4"/>
    <x v="3"/>
    <x v="0"/>
    <x v="3"/>
    <s v="Steven Krueger"/>
    <d v="2017-06-22T00:00:00"/>
    <x v="0"/>
    <x v="1"/>
    <n v="52020"/>
    <s v="B"/>
    <n v="9585"/>
    <s v="Health + Dental"/>
    <n v="0"/>
    <n v="4"/>
    <s v="Excel Workshop"/>
    <x v="4"/>
    <s v="None"/>
  </r>
  <r>
    <n v="5763"/>
    <s v="George Hurley"/>
    <x v="1"/>
    <n v="44"/>
    <x v="2"/>
    <x v="1"/>
    <x v="2"/>
    <x v="1"/>
    <s v="Debra Williams"/>
    <d v="2020-11-28T00:00:00"/>
    <x v="2"/>
    <x v="1"/>
    <n v="98961"/>
    <s v="D"/>
    <n v="2688"/>
    <s v="Health"/>
    <n v="2"/>
    <n v="5"/>
    <s v="Excel Workshop"/>
    <x v="4"/>
    <s v="Certified Professional"/>
  </r>
  <r>
    <n v="6838"/>
    <s v="Mark Lopez"/>
    <x v="1"/>
    <n v="45"/>
    <x v="2"/>
    <x v="2"/>
    <x v="3"/>
    <x v="2"/>
    <s v="Karen Mitchell"/>
    <d v="2015-08-30T00:00:00"/>
    <x v="2"/>
    <x v="1"/>
    <n v="81943"/>
    <s v="C"/>
    <n v="2255"/>
    <s v="Health"/>
    <n v="18"/>
    <n v="2"/>
    <s v="None"/>
    <x v="2"/>
    <s v="Certified Professional"/>
  </r>
  <r>
    <n v="9544"/>
    <s v="Robert Williams"/>
    <x v="1"/>
    <n v="52"/>
    <x v="4"/>
    <x v="4"/>
    <x v="2"/>
    <x v="1"/>
    <s v="Joseph Sanders"/>
    <d v="2018-10-27T00:00:00"/>
    <x v="2"/>
    <x v="1"/>
    <n v="47627"/>
    <s v="C"/>
    <n v="1221"/>
    <s v="None"/>
    <n v="4"/>
    <n v="3"/>
    <s v="None"/>
    <x v="1"/>
    <s v="None"/>
  </r>
  <r>
    <n v="8012"/>
    <s v="Mary Schmidt"/>
    <x v="0"/>
    <n v="52"/>
    <x v="4"/>
    <x v="0"/>
    <x v="0"/>
    <x v="4"/>
    <s v="Shelly George"/>
    <d v="2018-08-26T00:00:00"/>
    <x v="2"/>
    <x v="1"/>
    <n v="56162"/>
    <s v="D"/>
    <n v="6560"/>
    <s v="Health + Dental"/>
    <n v="9"/>
    <n v="4"/>
    <s v="Excel Workshop"/>
    <x v="3"/>
    <s v="None"/>
  </r>
  <r>
    <n v="9374"/>
    <s v="Mary Martinez"/>
    <x v="0"/>
    <n v="42"/>
    <x v="2"/>
    <x v="1"/>
    <x v="2"/>
    <x v="2"/>
    <s v="Nicole Houston"/>
    <d v="2023-07-24T00:00:00"/>
    <x v="1"/>
    <x v="2"/>
    <n v="95734"/>
    <s v="C"/>
    <n v="4854"/>
    <s v="Health"/>
    <n v="13"/>
    <n v="2"/>
    <s v="Leadership Training"/>
    <x v="0"/>
    <s v="Certified Professional"/>
  </r>
  <r>
    <n v="3487"/>
    <s v="Paul Hall"/>
    <x v="1"/>
    <n v="58"/>
    <x v="3"/>
    <x v="1"/>
    <x v="1"/>
    <x v="3"/>
    <s v="Kristin Shaffer"/>
    <d v="2018-07-09T00:00:00"/>
    <x v="1"/>
    <x v="2"/>
    <n v="74789"/>
    <s v="C"/>
    <n v="8101"/>
    <s v="Health + Dental"/>
    <n v="14"/>
    <n v="5"/>
    <s v="Excel Workshop"/>
    <x v="2"/>
    <s v="None"/>
  </r>
  <r>
    <n v="8445"/>
    <s v="Samantha Foster"/>
    <x v="0"/>
    <n v="24"/>
    <x v="0"/>
    <x v="4"/>
    <x v="0"/>
    <x v="3"/>
    <s v="Joel Aguilar"/>
    <d v="2016-12-21T00:00:00"/>
    <x v="0"/>
    <x v="2"/>
    <n v="30137"/>
    <s v="B"/>
    <n v="4031"/>
    <s v="None"/>
    <n v="5"/>
    <n v="3"/>
    <s v="None"/>
    <x v="1"/>
    <s v="Certified Professional"/>
  </r>
  <r>
    <n v="1550"/>
    <s v="Timothy Aguilar"/>
    <x v="1"/>
    <n v="21"/>
    <x v="0"/>
    <x v="1"/>
    <x v="0"/>
    <x v="0"/>
    <s v="Michael Wade"/>
    <d v="2019-06-27T00:00:00"/>
    <x v="0"/>
    <x v="2"/>
    <n v="95510"/>
    <s v="C"/>
    <n v="6811"/>
    <s v="Health"/>
    <n v="18"/>
    <n v="4"/>
    <s v="Excel Workshop"/>
    <x v="4"/>
    <s v="Certified Professional"/>
  </r>
  <r>
    <n v="9968"/>
    <s v="Charles Andrews"/>
    <x v="1"/>
    <n v="58"/>
    <x v="3"/>
    <x v="1"/>
    <x v="3"/>
    <x v="0"/>
    <s v="Jessica Walsh"/>
    <d v="2021-08-27T00:00:00"/>
    <x v="1"/>
    <x v="0"/>
    <n v="80325"/>
    <s v="B"/>
    <n v="6230"/>
    <s v="Health"/>
    <n v="5"/>
    <n v="4"/>
    <s v="None"/>
    <x v="2"/>
    <s v="Advanced Training"/>
  </r>
  <r>
    <n v="8029"/>
    <s v="Veronica Nelson"/>
    <x v="0"/>
    <n v="57"/>
    <x v="3"/>
    <x v="3"/>
    <x v="4"/>
    <x v="4"/>
    <s v="Kelly Mack"/>
    <d v="2017-05-28T00:00:00"/>
    <x v="2"/>
    <x v="1"/>
    <n v="34109"/>
    <s v="B"/>
    <n v="9232"/>
    <s v="Health"/>
    <n v="13"/>
    <n v="3"/>
    <s v="Leadership Training"/>
    <x v="0"/>
    <s v="Certified Professional"/>
  </r>
  <r>
    <n v="8847"/>
    <s v="Chris Sanchez"/>
    <x v="1"/>
    <n v="41"/>
    <x v="2"/>
    <x v="3"/>
    <x v="3"/>
    <x v="0"/>
    <s v="John Conley"/>
    <d v="2022-01-30T00:00:00"/>
    <x v="2"/>
    <x v="2"/>
    <n v="73330"/>
    <s v="C"/>
    <n v="2276"/>
    <s v="Health + Dental"/>
    <n v="5"/>
    <n v="1"/>
    <s v="None"/>
    <x v="1"/>
    <s v="Advanced Training"/>
  </r>
  <r>
    <n v="1955"/>
    <s v="Cassie Galvan"/>
    <x v="0"/>
    <n v="58"/>
    <x v="3"/>
    <x v="2"/>
    <x v="2"/>
    <x v="1"/>
    <s v="Aaron Baker"/>
    <d v="2017-04-20T00:00:00"/>
    <x v="1"/>
    <x v="2"/>
    <n v="46567"/>
    <s v="A"/>
    <n v="2825"/>
    <s v="Health"/>
    <n v="15"/>
    <n v="3"/>
    <s v="None"/>
    <x v="4"/>
    <s v="Advanced Training"/>
  </r>
  <r>
    <n v="4522"/>
    <s v="Jessica Jones"/>
    <x v="0"/>
    <n v="36"/>
    <x v="2"/>
    <x v="0"/>
    <x v="4"/>
    <x v="0"/>
    <s v="Christopher Bass"/>
    <d v="2019-07-22T00:00:00"/>
    <x v="1"/>
    <x v="1"/>
    <n v="39795"/>
    <s v="A"/>
    <n v="1670"/>
    <s v="None"/>
    <n v="0"/>
    <n v="2"/>
    <s v="Excel Workshop"/>
    <x v="3"/>
    <s v="None"/>
  </r>
  <r>
    <n v="3078"/>
    <s v="Emily Walker"/>
    <x v="0"/>
    <n v="21"/>
    <x v="0"/>
    <x v="0"/>
    <x v="0"/>
    <x v="4"/>
    <s v="Sean Tucker PhD"/>
    <d v="2018-11-29T00:00:00"/>
    <x v="1"/>
    <x v="2"/>
    <n v="59506"/>
    <s v="A"/>
    <n v="4428"/>
    <s v="Health + Dental"/>
    <n v="0"/>
    <n v="1"/>
    <s v="None"/>
    <x v="3"/>
    <s v="Certified Professional"/>
  </r>
  <r>
    <n v="6357"/>
    <s v="Vickie Lewis"/>
    <x v="0"/>
    <n v="46"/>
    <x v="4"/>
    <x v="2"/>
    <x v="1"/>
    <x v="4"/>
    <s v="Jacob Scott"/>
    <d v="2022-11-14T00:00:00"/>
    <x v="1"/>
    <x v="2"/>
    <n v="49058"/>
    <s v="B"/>
    <n v="4396"/>
    <s v="None"/>
    <n v="5"/>
    <n v="1"/>
    <s v="None"/>
    <x v="3"/>
    <s v="None"/>
  </r>
  <r>
    <n v="7951"/>
    <s v="Alexis Clark"/>
    <x v="0"/>
    <n v="36"/>
    <x v="2"/>
    <x v="3"/>
    <x v="2"/>
    <x v="4"/>
    <s v="Joel Park"/>
    <d v="2016-02-23T00:00:00"/>
    <x v="1"/>
    <x v="0"/>
    <n v="98612"/>
    <s v="A"/>
    <n v="1168"/>
    <s v="None"/>
    <n v="9"/>
    <n v="2"/>
    <s v="Excel Workshop"/>
    <x v="0"/>
    <s v="Certified Professional"/>
  </r>
  <r>
    <n v="9228"/>
    <s v="Robert Davis"/>
    <x v="1"/>
    <n v="41"/>
    <x v="2"/>
    <x v="4"/>
    <x v="3"/>
    <x v="1"/>
    <s v="Russell Marshall"/>
    <d v="2018-05-18T00:00:00"/>
    <x v="2"/>
    <x v="1"/>
    <n v="38201"/>
    <s v="A"/>
    <n v="7111"/>
    <s v="Health"/>
    <n v="8"/>
    <n v="4"/>
    <s v="Leadership Training"/>
    <x v="3"/>
    <s v="None"/>
  </r>
  <r>
    <n v="8988"/>
    <s v="Daniel Brown MD"/>
    <x v="1"/>
    <n v="25"/>
    <x v="0"/>
    <x v="0"/>
    <x v="2"/>
    <x v="2"/>
    <s v="James Holden"/>
    <d v="2024-03-09T00:00:00"/>
    <x v="2"/>
    <x v="1"/>
    <n v="92919"/>
    <s v="D"/>
    <n v="9497"/>
    <s v="Health"/>
    <n v="7"/>
    <n v="2"/>
    <s v="None"/>
    <x v="3"/>
    <s v="Advanced Training"/>
  </r>
  <r>
    <n v="1952"/>
    <s v="Anna Payne"/>
    <x v="0"/>
    <n v="29"/>
    <x v="1"/>
    <x v="4"/>
    <x v="0"/>
    <x v="1"/>
    <s v="Thomas Murphy"/>
    <d v="2024-03-27T00:00:00"/>
    <x v="0"/>
    <x v="2"/>
    <n v="45188"/>
    <s v="A"/>
    <n v="9591"/>
    <s v="Health + Dental"/>
    <n v="18"/>
    <n v="3"/>
    <s v="Leadership Training"/>
    <x v="3"/>
    <s v="None"/>
  </r>
  <r>
    <n v="5760"/>
    <s v="Rhonda Pena"/>
    <x v="0"/>
    <n v="59"/>
    <x v="3"/>
    <x v="2"/>
    <x v="1"/>
    <x v="0"/>
    <s v="Mark Abbott"/>
    <d v="2019-12-23T00:00:00"/>
    <x v="0"/>
    <x v="1"/>
    <n v="34927"/>
    <s v="D"/>
    <n v="6996"/>
    <s v="Health + Dental"/>
    <n v="16"/>
    <n v="1"/>
    <s v="Excel Workshop"/>
    <x v="0"/>
    <s v="Certified Professional"/>
  </r>
  <r>
    <n v="5742"/>
    <s v="Nicole Gonzalez"/>
    <x v="0"/>
    <n v="27"/>
    <x v="1"/>
    <x v="0"/>
    <x v="2"/>
    <x v="3"/>
    <s v="Robin Lynch"/>
    <d v="2016-08-25T00:00:00"/>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974FB-0D7F-4975-A18C-BB9BD2A85A98}"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4:U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88D7B-E41D-4654-8BF7-FCA98D39D2C8}" name="Depar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10" firstHeaderRow="1"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showAll="0"/>
    <pivotField axis="axisRow"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dataField="1" showAll="0"/>
    <pivotField showAll="0"/>
    <pivotField showAll="0">
      <items count="6">
        <item x="3"/>
        <item x="0"/>
        <item x="4"/>
        <item x="1"/>
        <item x="2"/>
        <item t="default"/>
      </items>
    </pivotField>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E98799-571A-48C4-87EC-1EAB0B788DC9}"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0"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FFF6-92BD-4C7D-9A46-7746354F55E4}" name="Work 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402C5-7E39-433F-8373-4D5314D7A50E}"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4:L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049037-EC24-46F0-B468-8AE5DFAE1DD4}"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10" firstHeaderRow="0"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pivotField showAll="0">
      <items count="4">
        <item x="1"/>
        <item x="0"/>
        <item x="2"/>
        <item t="default"/>
      </items>
    </pivotField>
    <pivotField dataField="1" showAll="0"/>
    <pivotField showAll="0"/>
    <pivotField showAll="0"/>
    <pivotField showAll="0"/>
    <pivotField dataField="1" showAll="0"/>
    <pivotField showAll="0"/>
    <pivotField showAll="0"/>
    <pivotField showAll="0">
      <items count="6">
        <item x="3"/>
        <item x="0"/>
        <item x="4"/>
        <item x="1"/>
        <item x="2"/>
        <item t="default"/>
      </items>
    </pivotField>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
    <format dxfId="5">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8F38C-76D6-468A-B822-3A5995D0E1E6}" name="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numFmtId="14" showAll="0"/>
    <pivotField axis="axisRow"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ED408B-9497-48F6-9466-64D1108CE6D1}" autoFormatId="16" applyNumberFormats="0" applyBorderFormats="0" applyFontFormats="0" applyPatternFormats="0" applyAlignmentFormats="0" applyWidthHeightFormats="0">
  <queryTableRefresh nextId="22">
    <queryTableFields count="21">
      <queryTableField id="1" name="Employee ID" tableColumnId="22"/>
      <queryTableField id="2" name="Full Name" tableColumnId="2"/>
      <queryTableField id="3" name="Gender" tableColumnId="3"/>
      <queryTableField id="4" name="Age" tableColumnId="4"/>
      <queryTableField id="5" name="Age range" tableColumnId="5"/>
      <queryTableField id="6" name="Region" tableColumnId="6"/>
      <queryTableField id="7" name="Job Title" tableColumnId="7"/>
      <queryTableField id="8" name="Department" tableColumnId="8"/>
      <queryTableField id="9" name="Manager/Supervisor" tableColumnId="9"/>
      <queryTableField id="10" name="Date of Hire" tableColumnId="10"/>
      <queryTableField id="11" name="Employment Status" tableColumnId="11"/>
      <queryTableField id="12" name="Work Location" tableColumnId="12"/>
      <queryTableField id="13" name="Salary" tableColumnId="13"/>
      <queryTableField id="14" name="Pay Grade" tableColumnId="14"/>
      <queryTableField id="15" name="Bonus/Allowances" tableColumnId="15"/>
      <queryTableField id="16" name="Insurance Details" tableColumnId="16"/>
      <queryTableField id="17" name="Leave Taken" tableColumnId="17"/>
      <queryTableField id="18" name="Performance Rating" tableColumnId="18"/>
      <queryTableField id="19" name="Training Programs Attended" tableColumnId="19"/>
      <queryTableField id="20" name="Skills" tableColumnId="20"/>
      <queryTableField id="21" name="Certification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1892F7-17FF-4727-9F11-FC027F2EC09B}" sourceName="Gender">
  <pivotTables>
    <pivotTable tabId="3" name="Salaries"/>
    <pivotTable tabId="3" name="Departments"/>
    <pivotTable tabId="3" name="Employment Status"/>
    <pivotTable tabId="3" name="Regions"/>
    <pivotTable tabId="3" name="Skills"/>
    <pivotTable tabId="3" name="Work place"/>
  </pivotTables>
  <data>
    <tabular pivotCacheId="14648424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3BF4F2B-0512-41D8-A9EC-2A9F24AF12E8}" sourceName="Department">
  <pivotTables>
    <pivotTable tabId="3" name="Salaries"/>
    <pivotTable tabId="3" name="Age range"/>
    <pivotTable tabId="3" name="Departments"/>
    <pivotTable tabId="3" name="Employment Status"/>
    <pivotTable tabId="3" name="Regions"/>
    <pivotTable tabId="3" name="Skills"/>
    <pivotTable tabId="3" name="Work place"/>
  </pivotTables>
  <data>
    <tabular pivotCacheId="1464842424">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2C15367-6CA1-4431-8C66-F23C90130360}" cache="Slicer_Gender" caption="Gender" columnCount="2" style="Slicer Style 1" rowHeight="251883"/>
  <slicer name="Department 1" xr10:uid="{DE048E1D-1988-4C59-A2AC-242284515E39}" cache="Slicer_Department" caption="Department" columnCount="3"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3BCA9-8F4D-4DFF-A0F5-96F3DC7F22E4}" name="Sheet1" displayName="Sheet1" ref="A1:U51" tableType="queryTable" totalsRowShown="0">
  <autoFilter ref="A1:U51" xr:uid="{7F03BCA9-8F4D-4DFF-A0F5-96F3DC7F22E4}"/>
  <tableColumns count="21">
    <tableColumn id="22" xr3:uid="{752D0DD7-14AB-4C56-8DCD-DF72B8D093DD}" uniqueName="22" name="Employee ID" queryTableFieldId="1"/>
    <tableColumn id="2" xr3:uid="{FC4F49D1-298B-42EE-A3BB-E850E7FF41EE}" uniqueName="2" name="Full Name" queryTableFieldId="2" dataDxfId="20"/>
    <tableColumn id="3" xr3:uid="{CBADD6F6-6DC5-44E8-9CAD-F6F4EC9D20C7}" uniqueName="3" name="Gender" queryTableFieldId="3" dataDxfId="19"/>
    <tableColumn id="4" xr3:uid="{AEC9C9DD-938D-4822-91F1-8B0A162B2166}" uniqueName="4" name="Age" queryTableFieldId="4"/>
    <tableColumn id="5" xr3:uid="{05CAC66E-FFE9-4D34-9B13-3EC64F8F1A95}" uniqueName="5" name="Age range" queryTableFieldId="5" dataDxfId="18"/>
    <tableColumn id="6" xr3:uid="{0AD5D6F5-E34E-4BC4-ACD8-4A6A9B689AF0}" uniqueName="6" name="Region" queryTableFieldId="6" dataDxfId="17"/>
    <tableColumn id="7" xr3:uid="{A9BDD68B-317B-4143-9043-488E3F54DE07}" uniqueName="7" name="Job Title" queryTableFieldId="7" dataDxfId="16"/>
    <tableColumn id="8" xr3:uid="{FCA8CC04-4316-4D98-970F-726A0182B3FC}" uniqueName="8" name="Department" queryTableFieldId="8" dataDxfId="15"/>
    <tableColumn id="9" xr3:uid="{563076E4-9681-4B49-B0E9-2BBE153ED7DD}" uniqueName="9" name="Manager/Supervisor" queryTableFieldId="9" dataDxfId="14"/>
    <tableColumn id="10" xr3:uid="{56937237-0461-4BF9-9919-CC5D5F93E623}" uniqueName="10" name="Date of Hire" queryTableFieldId="10" dataDxfId="13"/>
    <tableColumn id="11" xr3:uid="{2AFE28EE-7E26-49C4-9472-85087DD61850}" uniqueName="11" name="Employment Status" queryTableFieldId="11" dataDxfId="12"/>
    <tableColumn id="12" xr3:uid="{08B448E4-E9D8-4639-A062-FDA7F3269472}" uniqueName="12" name="Work Location" queryTableFieldId="12" dataDxfId="11"/>
    <tableColumn id="13" xr3:uid="{11858D57-357D-4B4A-BE56-DE8888123934}" uniqueName="13" name="Salary" queryTableFieldId="13"/>
    <tableColumn id="14" xr3:uid="{DE8322FF-5710-4035-B507-DC8447DD3A05}" uniqueName="14" name="Pay Grade" queryTableFieldId="14" dataDxfId="10"/>
    <tableColumn id="15" xr3:uid="{2CD17428-6E8D-4DA5-A4DC-EB2770EF6331}" uniqueName="15" name="Bonus/Allowances" queryTableFieldId="15"/>
    <tableColumn id="16" xr3:uid="{6EF4D04F-0ED9-414A-9017-EF93013614D8}" uniqueName="16" name="Insurance Details" queryTableFieldId="16" dataDxfId="9"/>
    <tableColumn id="17" xr3:uid="{4461D6AC-F6C3-44E1-AD4C-3B89181078AE}" uniqueName="17" name="Leave Taken" queryTableFieldId="17"/>
    <tableColumn id="18" xr3:uid="{B5FDFF07-A48B-4C15-BACB-E30B05DEC0B9}" uniqueName="18" name="Performance Rating" queryTableFieldId="18"/>
    <tableColumn id="19" xr3:uid="{8B1916BB-35B5-483D-AC5D-ABC7C1CB0688}" uniqueName="19" name="Training Programs Attended" queryTableFieldId="19" dataDxfId="8"/>
    <tableColumn id="20" xr3:uid="{70841719-1F20-4B3F-B992-DE4112822CE8}" uniqueName="20" name="Skills" queryTableFieldId="20" dataDxfId="7"/>
    <tableColumn id="21" xr3:uid="{3DBC1F42-B1EC-46B3-BC8E-0902B16A7430}" uniqueName="21" name="Certifications" queryTableFieldId="21"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D168-4301-41DE-AA95-2E76D16D6175}">
  <dimension ref="A1"/>
  <sheetViews>
    <sheetView showGridLines="0" tabSelected="1" zoomScale="61" zoomScaleNormal="47" workbookViewId="0">
      <selection activeCell="W21" sqref="W21"/>
    </sheetView>
  </sheetViews>
  <sheetFormatPr defaultColWidth="8.7265625" defaultRowHeight="14"/>
  <cols>
    <col min="1" max="1" width="3.26953125" style="1" customWidth="1"/>
    <col min="2"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87B0-933C-441A-BEA8-B7FB1B93BCEF}">
  <dimension ref="A1:U51"/>
  <sheetViews>
    <sheetView topLeftCell="F1" zoomScaleNormal="100" workbookViewId="0">
      <selection activeCell="O26" sqref="O26"/>
    </sheetView>
  </sheetViews>
  <sheetFormatPr defaultRowHeight="14.5"/>
  <cols>
    <col min="1" max="1" width="13.453125" bestFit="1" customWidth="1"/>
    <col min="2" max="2" width="15.453125" bestFit="1" customWidth="1"/>
    <col min="3" max="3" width="9.1796875" bestFit="1" customWidth="1"/>
    <col min="4" max="4" width="6.1796875" bestFit="1" customWidth="1"/>
    <col min="5" max="5" width="11.1796875" bestFit="1" customWidth="1"/>
    <col min="6" max="6" width="8.81640625" bestFit="1" customWidth="1"/>
    <col min="7" max="7" width="11.453125" bestFit="1" customWidth="1"/>
    <col min="8" max="8" width="13.1796875" bestFit="1" customWidth="1"/>
    <col min="9" max="9" width="20" bestFit="1" customWidth="1"/>
    <col min="10" max="10" width="12.81640625" bestFit="1" customWidth="1"/>
    <col min="11" max="11" width="19.54296875" bestFit="1" customWidth="1"/>
    <col min="12" max="12" width="14.81640625" bestFit="1" customWidth="1"/>
    <col min="13" max="13" width="8.26953125" bestFit="1" customWidth="1"/>
    <col min="14" max="14" width="11.453125" bestFit="1" customWidth="1"/>
    <col min="15" max="15" width="18.54296875" bestFit="1" customWidth="1"/>
    <col min="16" max="16" width="17.81640625" bestFit="1" customWidth="1"/>
    <col min="17" max="17" width="13.26953125" bestFit="1" customWidth="1"/>
    <col min="18" max="18" width="19.7265625" bestFit="1" customWidth="1"/>
    <col min="19" max="19" width="26.26953125" bestFit="1" customWidth="1"/>
    <col min="20" max="20" width="13.81640625" bestFit="1" customWidth="1"/>
    <col min="21" max="21" width="18.4531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4294</v>
      </c>
      <c r="B2" t="s">
        <v>21</v>
      </c>
      <c r="C2" t="s">
        <v>22</v>
      </c>
      <c r="D2">
        <v>25</v>
      </c>
      <c r="E2" t="s">
        <v>23</v>
      </c>
      <c r="F2" t="s">
        <v>24</v>
      </c>
      <c r="G2" t="s">
        <v>25</v>
      </c>
      <c r="H2" t="s">
        <v>26</v>
      </c>
      <c r="I2" t="s">
        <v>27</v>
      </c>
      <c r="J2" s="2">
        <v>43539</v>
      </c>
      <c r="K2" t="s">
        <v>28</v>
      </c>
      <c r="L2" t="s">
        <v>29</v>
      </c>
      <c r="M2">
        <v>53700</v>
      </c>
      <c r="N2" t="s">
        <v>30</v>
      </c>
      <c r="O2">
        <v>1463</v>
      </c>
      <c r="P2" t="s">
        <v>31</v>
      </c>
      <c r="Q2">
        <v>1</v>
      </c>
      <c r="R2">
        <v>1</v>
      </c>
      <c r="S2" t="s">
        <v>32</v>
      </c>
      <c r="T2" t="s">
        <v>33</v>
      </c>
      <c r="U2" t="s">
        <v>34</v>
      </c>
    </row>
    <row r="3" spans="1:21">
      <c r="A3">
        <v>9116</v>
      </c>
      <c r="B3" t="s">
        <v>35</v>
      </c>
      <c r="C3" t="s">
        <v>36</v>
      </c>
      <c r="D3">
        <v>27</v>
      </c>
      <c r="E3" t="s">
        <v>37</v>
      </c>
      <c r="F3" t="s">
        <v>38</v>
      </c>
      <c r="G3" t="s">
        <v>39</v>
      </c>
      <c r="H3" t="s">
        <v>40</v>
      </c>
      <c r="I3" t="s">
        <v>41</v>
      </c>
      <c r="J3" s="2">
        <v>44915</v>
      </c>
      <c r="K3" t="s">
        <v>28</v>
      </c>
      <c r="L3" t="s">
        <v>42</v>
      </c>
      <c r="M3">
        <v>91091</v>
      </c>
      <c r="N3" t="s">
        <v>43</v>
      </c>
      <c r="O3">
        <v>1024</v>
      </c>
      <c r="P3" t="s">
        <v>44</v>
      </c>
      <c r="Q3">
        <v>19</v>
      </c>
      <c r="R3">
        <v>4</v>
      </c>
      <c r="S3" t="s">
        <v>45</v>
      </c>
      <c r="T3" t="s">
        <v>33</v>
      </c>
      <c r="U3" t="s">
        <v>34</v>
      </c>
    </row>
    <row r="4" spans="1:21">
      <c r="A4">
        <v>5120</v>
      </c>
      <c r="B4" t="s">
        <v>46</v>
      </c>
      <c r="C4" t="s">
        <v>36</v>
      </c>
      <c r="D4">
        <v>34</v>
      </c>
      <c r="E4" t="s">
        <v>37</v>
      </c>
      <c r="F4" t="s">
        <v>47</v>
      </c>
      <c r="G4" t="s">
        <v>48</v>
      </c>
      <c r="H4" t="s">
        <v>49</v>
      </c>
      <c r="I4" t="s">
        <v>50</v>
      </c>
      <c r="J4" s="2">
        <v>44783</v>
      </c>
      <c r="K4" t="s">
        <v>28</v>
      </c>
      <c r="L4" t="s">
        <v>51</v>
      </c>
      <c r="M4">
        <v>57538</v>
      </c>
      <c r="N4" t="s">
        <v>52</v>
      </c>
      <c r="O4">
        <v>1674</v>
      </c>
      <c r="P4" t="s">
        <v>44</v>
      </c>
      <c r="Q4">
        <v>8</v>
      </c>
      <c r="R4">
        <v>1</v>
      </c>
      <c r="S4" t="s">
        <v>44</v>
      </c>
      <c r="T4" t="s">
        <v>53</v>
      </c>
      <c r="U4" t="s">
        <v>54</v>
      </c>
    </row>
    <row r="5" spans="1:21">
      <c r="A5">
        <v>8071</v>
      </c>
      <c r="B5" t="s">
        <v>55</v>
      </c>
      <c r="C5" t="s">
        <v>22</v>
      </c>
      <c r="D5">
        <v>41</v>
      </c>
      <c r="E5" t="s">
        <v>56</v>
      </c>
      <c r="F5" t="s">
        <v>47</v>
      </c>
      <c r="G5" t="s">
        <v>25</v>
      </c>
      <c r="H5" t="s">
        <v>57</v>
      </c>
      <c r="I5" t="s">
        <v>58</v>
      </c>
      <c r="J5" s="2">
        <v>45538</v>
      </c>
      <c r="K5" t="s">
        <v>59</v>
      </c>
      <c r="L5" t="s">
        <v>29</v>
      </c>
      <c r="M5">
        <v>62993</v>
      </c>
      <c r="N5" t="s">
        <v>60</v>
      </c>
      <c r="O5">
        <v>2695</v>
      </c>
      <c r="P5" t="s">
        <v>61</v>
      </c>
      <c r="Q5">
        <v>0</v>
      </c>
      <c r="R5">
        <v>2</v>
      </c>
      <c r="S5" t="s">
        <v>44</v>
      </c>
      <c r="T5" t="s">
        <v>62</v>
      </c>
      <c r="U5" t="s">
        <v>44</v>
      </c>
    </row>
    <row r="6" spans="1:21">
      <c r="A6">
        <v>9351</v>
      </c>
      <c r="B6" t="s">
        <v>63</v>
      </c>
      <c r="C6" t="s">
        <v>36</v>
      </c>
      <c r="D6">
        <v>56</v>
      </c>
      <c r="E6" t="s">
        <v>64</v>
      </c>
      <c r="F6" t="s">
        <v>24</v>
      </c>
      <c r="G6" t="s">
        <v>25</v>
      </c>
      <c r="H6" t="s">
        <v>49</v>
      </c>
      <c r="I6" t="s">
        <v>65</v>
      </c>
      <c r="J6" s="2">
        <v>43538</v>
      </c>
      <c r="K6" t="s">
        <v>59</v>
      </c>
      <c r="L6" t="s">
        <v>42</v>
      </c>
      <c r="M6">
        <v>45773</v>
      </c>
      <c r="N6" t="s">
        <v>60</v>
      </c>
      <c r="O6">
        <v>8776</v>
      </c>
      <c r="P6" t="s">
        <v>31</v>
      </c>
      <c r="Q6">
        <v>16</v>
      </c>
      <c r="R6">
        <v>4</v>
      </c>
      <c r="S6" t="s">
        <v>32</v>
      </c>
      <c r="T6" t="s">
        <v>62</v>
      </c>
      <c r="U6" t="s">
        <v>44</v>
      </c>
    </row>
    <row r="7" spans="1:21">
      <c r="A7">
        <v>2873</v>
      </c>
      <c r="B7" t="s">
        <v>66</v>
      </c>
      <c r="C7" t="s">
        <v>22</v>
      </c>
      <c r="D7">
        <v>28</v>
      </c>
      <c r="E7" t="s">
        <v>37</v>
      </c>
      <c r="F7" t="s">
        <v>47</v>
      </c>
      <c r="G7" t="s">
        <v>67</v>
      </c>
      <c r="H7" t="s">
        <v>49</v>
      </c>
      <c r="I7" t="s">
        <v>68</v>
      </c>
      <c r="J7" s="2">
        <v>42758</v>
      </c>
      <c r="K7" t="s">
        <v>28</v>
      </c>
      <c r="L7" t="s">
        <v>42</v>
      </c>
      <c r="M7">
        <v>96249</v>
      </c>
      <c r="N7" t="s">
        <v>30</v>
      </c>
      <c r="O7">
        <v>4826</v>
      </c>
      <c r="P7" t="s">
        <v>61</v>
      </c>
      <c r="Q7">
        <v>7</v>
      </c>
      <c r="R7">
        <v>3</v>
      </c>
      <c r="S7" t="s">
        <v>32</v>
      </c>
      <c r="T7" t="s">
        <v>69</v>
      </c>
      <c r="U7" t="s">
        <v>34</v>
      </c>
    </row>
    <row r="8" spans="1:21">
      <c r="A8">
        <v>3540</v>
      </c>
      <c r="B8" t="s">
        <v>70</v>
      </c>
      <c r="C8" t="s">
        <v>22</v>
      </c>
      <c r="D8">
        <v>20</v>
      </c>
      <c r="E8" t="s">
        <v>23</v>
      </c>
      <c r="F8" t="s">
        <v>38</v>
      </c>
      <c r="G8" t="s">
        <v>48</v>
      </c>
      <c r="H8" t="s">
        <v>49</v>
      </c>
      <c r="I8" t="s">
        <v>71</v>
      </c>
      <c r="J8" s="2">
        <v>45521</v>
      </c>
      <c r="K8" t="s">
        <v>28</v>
      </c>
      <c r="L8" t="s">
        <v>51</v>
      </c>
      <c r="M8">
        <v>61596</v>
      </c>
      <c r="N8" t="s">
        <v>30</v>
      </c>
      <c r="O8">
        <v>8818</v>
      </c>
      <c r="P8" t="s">
        <v>61</v>
      </c>
      <c r="Q8">
        <v>4</v>
      </c>
      <c r="R8">
        <v>2</v>
      </c>
      <c r="S8" t="s">
        <v>32</v>
      </c>
      <c r="T8" t="s">
        <v>53</v>
      </c>
      <c r="U8" t="s">
        <v>44</v>
      </c>
    </row>
    <row r="9" spans="1:21">
      <c r="A9">
        <v>3653</v>
      </c>
      <c r="B9" t="s">
        <v>72</v>
      </c>
      <c r="C9" t="s">
        <v>22</v>
      </c>
      <c r="D9">
        <v>58</v>
      </c>
      <c r="E9" t="s">
        <v>64</v>
      </c>
      <c r="F9" t="s">
        <v>73</v>
      </c>
      <c r="G9" t="s">
        <v>39</v>
      </c>
      <c r="H9" t="s">
        <v>74</v>
      </c>
      <c r="I9" t="s">
        <v>75</v>
      </c>
      <c r="J9" s="2">
        <v>41982</v>
      </c>
      <c r="K9" t="s">
        <v>28</v>
      </c>
      <c r="L9" t="s">
        <v>51</v>
      </c>
      <c r="M9">
        <v>97869</v>
      </c>
      <c r="N9" t="s">
        <v>60</v>
      </c>
      <c r="O9">
        <v>1966</v>
      </c>
      <c r="P9" t="s">
        <v>31</v>
      </c>
      <c r="Q9">
        <v>10</v>
      </c>
      <c r="R9">
        <v>1</v>
      </c>
      <c r="S9" t="s">
        <v>32</v>
      </c>
      <c r="T9" t="s">
        <v>33</v>
      </c>
      <c r="U9" t="s">
        <v>34</v>
      </c>
    </row>
    <row r="10" spans="1:21">
      <c r="A10">
        <v>5587</v>
      </c>
      <c r="B10" t="s">
        <v>76</v>
      </c>
      <c r="C10" t="s">
        <v>22</v>
      </c>
      <c r="D10">
        <v>44</v>
      </c>
      <c r="E10" t="s">
        <v>56</v>
      </c>
      <c r="F10" t="s">
        <v>73</v>
      </c>
      <c r="G10" t="s">
        <v>48</v>
      </c>
      <c r="H10" t="s">
        <v>49</v>
      </c>
      <c r="I10" t="s">
        <v>77</v>
      </c>
      <c r="J10" s="2">
        <v>44375</v>
      </c>
      <c r="K10" t="s">
        <v>28</v>
      </c>
      <c r="L10" t="s">
        <v>29</v>
      </c>
      <c r="M10">
        <v>81235</v>
      </c>
      <c r="N10" t="s">
        <v>60</v>
      </c>
      <c r="O10">
        <v>6553</v>
      </c>
      <c r="P10" t="s">
        <v>44</v>
      </c>
      <c r="Q10">
        <v>16</v>
      </c>
      <c r="R10">
        <v>2</v>
      </c>
      <c r="S10" t="s">
        <v>44</v>
      </c>
      <c r="T10" t="s">
        <v>53</v>
      </c>
      <c r="U10" t="s">
        <v>34</v>
      </c>
    </row>
    <row r="11" spans="1:21">
      <c r="A11">
        <v>9554</v>
      </c>
      <c r="B11" t="s">
        <v>78</v>
      </c>
      <c r="C11" t="s">
        <v>22</v>
      </c>
      <c r="D11">
        <v>29</v>
      </c>
      <c r="E11" t="s">
        <v>37</v>
      </c>
      <c r="F11" t="s">
        <v>38</v>
      </c>
      <c r="G11" t="s">
        <v>48</v>
      </c>
      <c r="H11" t="s">
        <v>57</v>
      </c>
      <c r="I11" t="s">
        <v>79</v>
      </c>
      <c r="J11" s="2">
        <v>43240</v>
      </c>
      <c r="K11" t="s">
        <v>28</v>
      </c>
      <c r="L11" t="s">
        <v>42</v>
      </c>
      <c r="M11">
        <v>87852</v>
      </c>
      <c r="N11" t="s">
        <v>60</v>
      </c>
      <c r="O11">
        <v>4980</v>
      </c>
      <c r="P11" t="s">
        <v>61</v>
      </c>
      <c r="Q11">
        <v>19</v>
      </c>
      <c r="R11">
        <v>3</v>
      </c>
      <c r="S11" t="s">
        <v>44</v>
      </c>
      <c r="T11" t="s">
        <v>62</v>
      </c>
      <c r="U11" t="s">
        <v>34</v>
      </c>
    </row>
    <row r="12" spans="1:21">
      <c r="A12">
        <v>6213</v>
      </c>
      <c r="B12" t="s">
        <v>80</v>
      </c>
      <c r="C12" t="s">
        <v>36</v>
      </c>
      <c r="D12">
        <v>23</v>
      </c>
      <c r="E12" t="s">
        <v>23</v>
      </c>
      <c r="F12" t="s">
        <v>73</v>
      </c>
      <c r="G12" t="s">
        <v>25</v>
      </c>
      <c r="H12" t="s">
        <v>49</v>
      </c>
      <c r="I12" t="s">
        <v>81</v>
      </c>
      <c r="J12" s="2">
        <v>42779</v>
      </c>
      <c r="K12" t="s">
        <v>59</v>
      </c>
      <c r="L12" t="s">
        <v>42</v>
      </c>
      <c r="M12">
        <v>59359</v>
      </c>
      <c r="N12" t="s">
        <v>60</v>
      </c>
      <c r="O12">
        <v>9449</v>
      </c>
      <c r="P12" t="s">
        <v>61</v>
      </c>
      <c r="Q12">
        <v>20</v>
      </c>
      <c r="R12">
        <v>3</v>
      </c>
      <c r="S12" t="s">
        <v>44</v>
      </c>
      <c r="T12" t="s">
        <v>53</v>
      </c>
      <c r="U12" t="s">
        <v>44</v>
      </c>
    </row>
    <row r="13" spans="1:21">
      <c r="A13">
        <v>9105</v>
      </c>
      <c r="B13" t="s">
        <v>82</v>
      </c>
      <c r="C13" t="s">
        <v>36</v>
      </c>
      <c r="D13">
        <v>30</v>
      </c>
      <c r="E13" t="s">
        <v>37</v>
      </c>
      <c r="F13" t="s">
        <v>24</v>
      </c>
      <c r="G13" t="s">
        <v>39</v>
      </c>
      <c r="H13" t="s">
        <v>26</v>
      </c>
      <c r="I13" t="s">
        <v>83</v>
      </c>
      <c r="J13" s="2">
        <v>45417</v>
      </c>
      <c r="K13" t="s">
        <v>59</v>
      </c>
      <c r="L13" t="s">
        <v>51</v>
      </c>
      <c r="M13">
        <v>81225</v>
      </c>
      <c r="N13" t="s">
        <v>52</v>
      </c>
      <c r="O13">
        <v>6202</v>
      </c>
      <c r="P13" t="s">
        <v>61</v>
      </c>
      <c r="Q13">
        <v>2</v>
      </c>
      <c r="R13">
        <v>2</v>
      </c>
      <c r="S13" t="s">
        <v>45</v>
      </c>
      <c r="T13" t="s">
        <v>84</v>
      </c>
      <c r="U13" t="s">
        <v>34</v>
      </c>
    </row>
    <row r="14" spans="1:21">
      <c r="A14">
        <v>9508</v>
      </c>
      <c r="B14" t="s">
        <v>85</v>
      </c>
      <c r="C14" t="s">
        <v>22</v>
      </c>
      <c r="D14">
        <v>49</v>
      </c>
      <c r="E14" t="s">
        <v>86</v>
      </c>
      <c r="F14" t="s">
        <v>38</v>
      </c>
      <c r="G14" t="s">
        <v>25</v>
      </c>
      <c r="H14" t="s">
        <v>26</v>
      </c>
      <c r="I14" t="s">
        <v>87</v>
      </c>
      <c r="J14" s="2">
        <v>44670</v>
      </c>
      <c r="K14" t="s">
        <v>59</v>
      </c>
      <c r="L14" t="s">
        <v>29</v>
      </c>
      <c r="M14">
        <v>32788</v>
      </c>
      <c r="N14" t="s">
        <v>52</v>
      </c>
      <c r="O14">
        <v>4396</v>
      </c>
      <c r="P14" t="s">
        <v>31</v>
      </c>
      <c r="Q14">
        <v>13</v>
      </c>
      <c r="R14">
        <v>5</v>
      </c>
      <c r="S14" t="s">
        <v>44</v>
      </c>
      <c r="T14" t="s">
        <v>69</v>
      </c>
      <c r="U14" t="s">
        <v>54</v>
      </c>
    </row>
    <row r="15" spans="1:21">
      <c r="A15">
        <v>2436</v>
      </c>
      <c r="B15" t="s">
        <v>88</v>
      </c>
      <c r="C15" t="s">
        <v>36</v>
      </c>
      <c r="D15">
        <v>60</v>
      </c>
      <c r="E15" t="s">
        <v>64</v>
      </c>
      <c r="F15" t="s">
        <v>89</v>
      </c>
      <c r="G15" t="s">
        <v>25</v>
      </c>
      <c r="H15" t="s">
        <v>57</v>
      </c>
      <c r="I15" t="s">
        <v>90</v>
      </c>
      <c r="J15" s="2">
        <v>42324</v>
      </c>
      <c r="K15" t="s">
        <v>59</v>
      </c>
      <c r="L15" t="s">
        <v>51</v>
      </c>
      <c r="M15">
        <v>70452</v>
      </c>
      <c r="N15" t="s">
        <v>52</v>
      </c>
      <c r="O15">
        <v>9911</v>
      </c>
      <c r="P15" t="s">
        <v>44</v>
      </c>
      <c r="Q15">
        <v>2</v>
      </c>
      <c r="R15">
        <v>1</v>
      </c>
      <c r="S15" t="s">
        <v>44</v>
      </c>
      <c r="T15" t="s">
        <v>69</v>
      </c>
      <c r="U15" t="s">
        <v>34</v>
      </c>
    </row>
    <row r="16" spans="1:21">
      <c r="A16">
        <v>4441</v>
      </c>
      <c r="B16" t="s">
        <v>91</v>
      </c>
      <c r="C16" t="s">
        <v>36</v>
      </c>
      <c r="D16">
        <v>46</v>
      </c>
      <c r="E16" t="s">
        <v>86</v>
      </c>
      <c r="F16" t="s">
        <v>38</v>
      </c>
      <c r="G16" t="s">
        <v>67</v>
      </c>
      <c r="H16" t="s">
        <v>26</v>
      </c>
      <c r="I16" t="s">
        <v>92</v>
      </c>
      <c r="J16" s="2">
        <v>45178</v>
      </c>
      <c r="K16" t="s">
        <v>28</v>
      </c>
      <c r="L16" t="s">
        <v>42</v>
      </c>
      <c r="M16">
        <v>33045</v>
      </c>
      <c r="N16" t="s">
        <v>43</v>
      </c>
      <c r="O16">
        <v>1456</v>
      </c>
      <c r="P16" t="s">
        <v>44</v>
      </c>
      <c r="Q16">
        <v>16</v>
      </c>
      <c r="R16">
        <v>3</v>
      </c>
      <c r="S16" t="s">
        <v>45</v>
      </c>
      <c r="T16" t="s">
        <v>69</v>
      </c>
      <c r="U16" t="s">
        <v>44</v>
      </c>
    </row>
    <row r="17" spans="1:21">
      <c r="A17">
        <v>5827</v>
      </c>
      <c r="B17" t="s">
        <v>93</v>
      </c>
      <c r="C17" t="s">
        <v>36</v>
      </c>
      <c r="D17">
        <v>57</v>
      </c>
      <c r="E17" t="s">
        <v>64</v>
      </c>
      <c r="F17" t="s">
        <v>47</v>
      </c>
      <c r="G17" t="s">
        <v>67</v>
      </c>
      <c r="H17" t="s">
        <v>40</v>
      </c>
      <c r="I17" t="s">
        <v>94</v>
      </c>
      <c r="J17" s="2">
        <v>43081</v>
      </c>
      <c r="K17" t="s">
        <v>95</v>
      </c>
      <c r="L17" t="s">
        <v>51</v>
      </c>
      <c r="M17">
        <v>96429</v>
      </c>
      <c r="N17" t="s">
        <v>30</v>
      </c>
      <c r="O17">
        <v>4740</v>
      </c>
      <c r="P17" t="s">
        <v>44</v>
      </c>
      <c r="Q17">
        <v>8</v>
      </c>
      <c r="R17">
        <v>1</v>
      </c>
      <c r="S17" t="s">
        <v>45</v>
      </c>
      <c r="T17" t="s">
        <v>62</v>
      </c>
      <c r="U17" t="s">
        <v>44</v>
      </c>
    </row>
    <row r="18" spans="1:21">
      <c r="A18">
        <v>5184</v>
      </c>
      <c r="B18" t="s">
        <v>96</v>
      </c>
      <c r="C18" t="s">
        <v>22</v>
      </c>
      <c r="D18">
        <v>24</v>
      </c>
      <c r="E18" t="s">
        <v>23</v>
      </c>
      <c r="F18" t="s">
        <v>38</v>
      </c>
      <c r="G18" t="s">
        <v>48</v>
      </c>
      <c r="H18" t="s">
        <v>49</v>
      </c>
      <c r="I18" t="s">
        <v>97</v>
      </c>
      <c r="J18" s="2">
        <v>42804</v>
      </c>
      <c r="K18" t="s">
        <v>95</v>
      </c>
      <c r="L18" t="s">
        <v>51</v>
      </c>
      <c r="M18">
        <v>33183</v>
      </c>
      <c r="N18" t="s">
        <v>60</v>
      </c>
      <c r="O18">
        <v>8114</v>
      </c>
      <c r="P18" t="s">
        <v>44</v>
      </c>
      <c r="Q18">
        <v>4</v>
      </c>
      <c r="R18">
        <v>2</v>
      </c>
      <c r="S18" t="s">
        <v>45</v>
      </c>
      <c r="T18" t="s">
        <v>84</v>
      </c>
      <c r="U18" t="s">
        <v>54</v>
      </c>
    </row>
    <row r="19" spans="1:21">
      <c r="A19">
        <v>5874</v>
      </c>
      <c r="B19" t="s">
        <v>55</v>
      </c>
      <c r="C19" t="s">
        <v>22</v>
      </c>
      <c r="D19">
        <v>35</v>
      </c>
      <c r="E19" t="s">
        <v>37</v>
      </c>
      <c r="F19" t="s">
        <v>89</v>
      </c>
      <c r="G19" t="s">
        <v>67</v>
      </c>
      <c r="H19" t="s">
        <v>26</v>
      </c>
      <c r="I19" t="s">
        <v>98</v>
      </c>
      <c r="J19" s="2">
        <v>43528</v>
      </c>
      <c r="K19" t="s">
        <v>95</v>
      </c>
      <c r="L19" t="s">
        <v>29</v>
      </c>
      <c r="M19">
        <v>75065</v>
      </c>
      <c r="N19" t="s">
        <v>30</v>
      </c>
      <c r="O19">
        <v>7123</v>
      </c>
      <c r="P19" t="s">
        <v>44</v>
      </c>
      <c r="Q19">
        <v>20</v>
      </c>
      <c r="R19">
        <v>2</v>
      </c>
      <c r="S19" t="s">
        <v>44</v>
      </c>
      <c r="T19" t="s">
        <v>33</v>
      </c>
      <c r="U19" t="s">
        <v>54</v>
      </c>
    </row>
    <row r="20" spans="1:21">
      <c r="A20">
        <v>9834</v>
      </c>
      <c r="B20" t="s">
        <v>99</v>
      </c>
      <c r="C20" t="s">
        <v>36</v>
      </c>
      <c r="D20">
        <v>41</v>
      </c>
      <c r="E20" t="s">
        <v>56</v>
      </c>
      <c r="F20" t="s">
        <v>38</v>
      </c>
      <c r="G20" t="s">
        <v>39</v>
      </c>
      <c r="H20" t="s">
        <v>74</v>
      </c>
      <c r="I20" t="s">
        <v>100</v>
      </c>
      <c r="J20" s="2">
        <v>44885</v>
      </c>
      <c r="K20" t="s">
        <v>28</v>
      </c>
      <c r="L20" t="s">
        <v>51</v>
      </c>
      <c r="M20">
        <v>32877</v>
      </c>
      <c r="N20" t="s">
        <v>30</v>
      </c>
      <c r="O20">
        <v>6432</v>
      </c>
      <c r="P20" t="s">
        <v>31</v>
      </c>
      <c r="Q20">
        <v>11</v>
      </c>
      <c r="R20">
        <v>1</v>
      </c>
      <c r="S20" t="s">
        <v>44</v>
      </c>
      <c r="T20" t="s">
        <v>33</v>
      </c>
      <c r="U20" t="s">
        <v>44</v>
      </c>
    </row>
    <row r="21" spans="1:21">
      <c r="A21">
        <v>5096</v>
      </c>
      <c r="B21" t="s">
        <v>101</v>
      </c>
      <c r="C21" t="s">
        <v>36</v>
      </c>
      <c r="D21">
        <v>36</v>
      </c>
      <c r="E21" t="s">
        <v>56</v>
      </c>
      <c r="F21" t="s">
        <v>38</v>
      </c>
      <c r="G21" t="s">
        <v>102</v>
      </c>
      <c r="H21" t="s">
        <v>57</v>
      </c>
      <c r="I21" t="s">
        <v>103</v>
      </c>
      <c r="J21" s="2">
        <v>44257</v>
      </c>
      <c r="K21" t="s">
        <v>28</v>
      </c>
      <c r="L21" t="s">
        <v>42</v>
      </c>
      <c r="M21">
        <v>46811</v>
      </c>
      <c r="N21" t="s">
        <v>52</v>
      </c>
      <c r="O21">
        <v>1567</v>
      </c>
      <c r="P21" t="s">
        <v>44</v>
      </c>
      <c r="Q21">
        <v>7</v>
      </c>
      <c r="R21">
        <v>3</v>
      </c>
      <c r="S21" t="s">
        <v>45</v>
      </c>
      <c r="T21" t="s">
        <v>33</v>
      </c>
      <c r="U21" t="s">
        <v>54</v>
      </c>
    </row>
    <row r="22" spans="1:21">
      <c r="A22">
        <v>2263</v>
      </c>
      <c r="B22" t="s">
        <v>104</v>
      </c>
      <c r="C22" t="s">
        <v>36</v>
      </c>
      <c r="D22">
        <v>31</v>
      </c>
      <c r="E22" t="s">
        <v>37</v>
      </c>
      <c r="F22" t="s">
        <v>73</v>
      </c>
      <c r="G22" t="s">
        <v>48</v>
      </c>
      <c r="H22" t="s">
        <v>40</v>
      </c>
      <c r="I22" t="s">
        <v>105</v>
      </c>
      <c r="J22" s="2">
        <v>44409</v>
      </c>
      <c r="K22" t="s">
        <v>59</v>
      </c>
      <c r="L22" t="s">
        <v>42</v>
      </c>
      <c r="M22">
        <v>87538</v>
      </c>
      <c r="N22" t="s">
        <v>30</v>
      </c>
      <c r="O22">
        <v>3588</v>
      </c>
      <c r="P22" t="s">
        <v>61</v>
      </c>
      <c r="Q22">
        <v>11</v>
      </c>
      <c r="R22">
        <v>5</v>
      </c>
      <c r="S22" t="s">
        <v>45</v>
      </c>
      <c r="T22" t="s">
        <v>62</v>
      </c>
      <c r="U22" t="s">
        <v>44</v>
      </c>
    </row>
    <row r="23" spans="1:21">
      <c r="A23">
        <v>6505</v>
      </c>
      <c r="B23" t="s">
        <v>106</v>
      </c>
      <c r="C23" t="s">
        <v>22</v>
      </c>
      <c r="D23">
        <v>28</v>
      </c>
      <c r="E23" t="s">
        <v>37</v>
      </c>
      <c r="F23" t="s">
        <v>24</v>
      </c>
      <c r="G23" t="s">
        <v>39</v>
      </c>
      <c r="H23" t="s">
        <v>74</v>
      </c>
      <c r="I23" t="s">
        <v>107</v>
      </c>
      <c r="J23" s="2">
        <v>42230</v>
      </c>
      <c r="K23" t="s">
        <v>28</v>
      </c>
      <c r="L23" t="s">
        <v>42</v>
      </c>
      <c r="M23">
        <v>73002</v>
      </c>
      <c r="N23" t="s">
        <v>30</v>
      </c>
      <c r="O23">
        <v>6296</v>
      </c>
      <c r="P23" t="s">
        <v>31</v>
      </c>
      <c r="Q23">
        <v>2</v>
      </c>
      <c r="R23">
        <v>5</v>
      </c>
      <c r="S23" t="s">
        <v>45</v>
      </c>
      <c r="T23" t="s">
        <v>53</v>
      </c>
      <c r="U23" t="s">
        <v>34</v>
      </c>
    </row>
    <row r="24" spans="1:21">
      <c r="A24">
        <v>8626</v>
      </c>
      <c r="B24" t="s">
        <v>108</v>
      </c>
      <c r="C24" t="s">
        <v>36</v>
      </c>
      <c r="D24">
        <v>37</v>
      </c>
      <c r="E24" t="s">
        <v>56</v>
      </c>
      <c r="F24" t="s">
        <v>73</v>
      </c>
      <c r="G24" t="s">
        <v>39</v>
      </c>
      <c r="H24" t="s">
        <v>57</v>
      </c>
      <c r="I24" t="s">
        <v>109</v>
      </c>
      <c r="J24" s="2">
        <v>42298</v>
      </c>
      <c r="K24" t="s">
        <v>95</v>
      </c>
      <c r="L24" t="s">
        <v>51</v>
      </c>
      <c r="M24">
        <v>41653</v>
      </c>
      <c r="N24" t="s">
        <v>52</v>
      </c>
      <c r="O24">
        <v>9236</v>
      </c>
      <c r="P24" t="s">
        <v>44</v>
      </c>
      <c r="Q24">
        <v>13</v>
      </c>
      <c r="R24">
        <v>1</v>
      </c>
      <c r="S24" t="s">
        <v>45</v>
      </c>
      <c r="T24" t="s">
        <v>33</v>
      </c>
      <c r="U24" t="s">
        <v>44</v>
      </c>
    </row>
    <row r="25" spans="1:21">
      <c r="A25">
        <v>5979</v>
      </c>
      <c r="B25" t="s">
        <v>110</v>
      </c>
      <c r="C25" t="s">
        <v>22</v>
      </c>
      <c r="D25">
        <v>31</v>
      </c>
      <c r="E25" t="s">
        <v>37</v>
      </c>
      <c r="F25" t="s">
        <v>24</v>
      </c>
      <c r="G25" t="s">
        <v>25</v>
      </c>
      <c r="H25" t="s">
        <v>49</v>
      </c>
      <c r="I25" t="s">
        <v>111</v>
      </c>
      <c r="J25" s="2">
        <v>42077</v>
      </c>
      <c r="K25" t="s">
        <v>59</v>
      </c>
      <c r="L25" t="s">
        <v>42</v>
      </c>
      <c r="M25">
        <v>67582</v>
      </c>
      <c r="N25" t="s">
        <v>60</v>
      </c>
      <c r="O25">
        <v>1375</v>
      </c>
      <c r="P25" t="s">
        <v>31</v>
      </c>
      <c r="Q25">
        <v>20</v>
      </c>
      <c r="R25">
        <v>3</v>
      </c>
      <c r="S25" t="s">
        <v>45</v>
      </c>
      <c r="T25" t="s">
        <v>53</v>
      </c>
      <c r="U25" t="s">
        <v>44</v>
      </c>
    </row>
    <row r="26" spans="1:21">
      <c r="A26">
        <v>3104</v>
      </c>
      <c r="B26" t="s">
        <v>112</v>
      </c>
      <c r="C26" t="s">
        <v>22</v>
      </c>
      <c r="D26">
        <v>23</v>
      </c>
      <c r="E26" t="s">
        <v>23</v>
      </c>
      <c r="F26" t="s">
        <v>73</v>
      </c>
      <c r="G26" t="s">
        <v>39</v>
      </c>
      <c r="H26" t="s">
        <v>40</v>
      </c>
      <c r="I26" t="s">
        <v>113</v>
      </c>
      <c r="J26" s="2">
        <v>45434</v>
      </c>
      <c r="K26" t="s">
        <v>95</v>
      </c>
      <c r="L26" t="s">
        <v>42</v>
      </c>
      <c r="M26">
        <v>37351</v>
      </c>
      <c r="N26" t="s">
        <v>52</v>
      </c>
      <c r="O26">
        <v>7858</v>
      </c>
      <c r="P26" t="s">
        <v>61</v>
      </c>
      <c r="Q26">
        <v>18</v>
      </c>
      <c r="R26">
        <v>2</v>
      </c>
      <c r="S26" t="s">
        <v>32</v>
      </c>
      <c r="T26" t="s">
        <v>53</v>
      </c>
      <c r="U26" t="s">
        <v>54</v>
      </c>
    </row>
    <row r="27" spans="1:21">
      <c r="A27">
        <v>8967</v>
      </c>
      <c r="B27" t="s">
        <v>114</v>
      </c>
      <c r="C27" t="s">
        <v>22</v>
      </c>
      <c r="D27">
        <v>48</v>
      </c>
      <c r="E27" t="s">
        <v>86</v>
      </c>
      <c r="F27" t="s">
        <v>89</v>
      </c>
      <c r="G27" t="s">
        <v>48</v>
      </c>
      <c r="H27" t="s">
        <v>26</v>
      </c>
      <c r="I27" t="s">
        <v>115</v>
      </c>
      <c r="J27" s="2">
        <v>42813</v>
      </c>
      <c r="K27" t="s">
        <v>28</v>
      </c>
      <c r="L27" t="s">
        <v>42</v>
      </c>
      <c r="M27">
        <v>36721</v>
      </c>
      <c r="N27" t="s">
        <v>43</v>
      </c>
      <c r="O27">
        <v>8820</v>
      </c>
      <c r="P27" t="s">
        <v>61</v>
      </c>
      <c r="Q27">
        <v>0</v>
      </c>
      <c r="R27">
        <v>2</v>
      </c>
      <c r="S27" t="s">
        <v>45</v>
      </c>
      <c r="T27" t="s">
        <v>53</v>
      </c>
      <c r="U27" t="s">
        <v>34</v>
      </c>
    </row>
    <row r="28" spans="1:21">
      <c r="A28">
        <v>5087</v>
      </c>
      <c r="B28" t="s">
        <v>116</v>
      </c>
      <c r="C28" t="s">
        <v>36</v>
      </c>
      <c r="D28">
        <v>28</v>
      </c>
      <c r="E28" t="s">
        <v>37</v>
      </c>
      <c r="F28" t="s">
        <v>47</v>
      </c>
      <c r="G28" t="s">
        <v>102</v>
      </c>
      <c r="H28" t="s">
        <v>26</v>
      </c>
      <c r="I28" t="s">
        <v>117</v>
      </c>
      <c r="J28" s="2">
        <v>44454</v>
      </c>
      <c r="K28" t="s">
        <v>59</v>
      </c>
      <c r="L28" t="s">
        <v>51</v>
      </c>
      <c r="M28">
        <v>46326</v>
      </c>
      <c r="N28" t="s">
        <v>43</v>
      </c>
      <c r="O28">
        <v>9189</v>
      </c>
      <c r="P28" t="s">
        <v>61</v>
      </c>
      <c r="Q28">
        <v>8</v>
      </c>
      <c r="R28">
        <v>4</v>
      </c>
      <c r="S28" t="s">
        <v>32</v>
      </c>
      <c r="T28" t="s">
        <v>69</v>
      </c>
      <c r="U28" t="s">
        <v>54</v>
      </c>
    </row>
    <row r="29" spans="1:21">
      <c r="A29">
        <v>3358</v>
      </c>
      <c r="B29" t="s">
        <v>118</v>
      </c>
      <c r="C29" t="s">
        <v>36</v>
      </c>
      <c r="D29">
        <v>30</v>
      </c>
      <c r="E29" t="s">
        <v>37</v>
      </c>
      <c r="F29" t="s">
        <v>38</v>
      </c>
      <c r="G29" t="s">
        <v>67</v>
      </c>
      <c r="H29" t="s">
        <v>40</v>
      </c>
      <c r="I29" t="s">
        <v>119</v>
      </c>
      <c r="J29" s="2">
        <v>44690</v>
      </c>
      <c r="K29" t="s">
        <v>28</v>
      </c>
      <c r="L29" t="s">
        <v>29</v>
      </c>
      <c r="M29">
        <v>59007</v>
      </c>
      <c r="N29" t="s">
        <v>30</v>
      </c>
      <c r="O29">
        <v>3380</v>
      </c>
      <c r="P29" t="s">
        <v>31</v>
      </c>
      <c r="Q29">
        <v>17</v>
      </c>
      <c r="R29">
        <v>3</v>
      </c>
      <c r="S29" t="s">
        <v>44</v>
      </c>
      <c r="T29" t="s">
        <v>84</v>
      </c>
      <c r="U29" t="s">
        <v>34</v>
      </c>
    </row>
    <row r="30" spans="1:21">
      <c r="A30">
        <v>8256</v>
      </c>
      <c r="B30" t="s">
        <v>120</v>
      </c>
      <c r="C30" t="s">
        <v>36</v>
      </c>
      <c r="D30">
        <v>46</v>
      </c>
      <c r="E30" t="s">
        <v>86</v>
      </c>
      <c r="F30" t="s">
        <v>73</v>
      </c>
      <c r="G30" t="s">
        <v>25</v>
      </c>
      <c r="H30" t="s">
        <v>57</v>
      </c>
      <c r="I30" t="s">
        <v>121</v>
      </c>
      <c r="J30" s="2">
        <v>42908</v>
      </c>
      <c r="K30" t="s">
        <v>28</v>
      </c>
      <c r="L30" t="s">
        <v>42</v>
      </c>
      <c r="M30">
        <v>52020</v>
      </c>
      <c r="N30" t="s">
        <v>43</v>
      </c>
      <c r="O30">
        <v>9585</v>
      </c>
      <c r="P30" t="s">
        <v>61</v>
      </c>
      <c r="Q30">
        <v>0</v>
      </c>
      <c r="R30">
        <v>4</v>
      </c>
      <c r="S30" t="s">
        <v>45</v>
      </c>
      <c r="T30" t="s">
        <v>84</v>
      </c>
      <c r="U30" t="s">
        <v>44</v>
      </c>
    </row>
    <row r="31" spans="1:21">
      <c r="A31">
        <v>5763</v>
      </c>
      <c r="B31" t="s">
        <v>122</v>
      </c>
      <c r="C31" t="s">
        <v>36</v>
      </c>
      <c r="D31">
        <v>44</v>
      </c>
      <c r="E31" t="s">
        <v>56</v>
      </c>
      <c r="F31" t="s">
        <v>38</v>
      </c>
      <c r="G31" t="s">
        <v>48</v>
      </c>
      <c r="H31" t="s">
        <v>40</v>
      </c>
      <c r="I31" t="s">
        <v>123</v>
      </c>
      <c r="J31" s="2">
        <v>44163</v>
      </c>
      <c r="K31" t="s">
        <v>95</v>
      </c>
      <c r="L31" t="s">
        <v>42</v>
      </c>
      <c r="M31">
        <v>98961</v>
      </c>
      <c r="N31" t="s">
        <v>52</v>
      </c>
      <c r="O31">
        <v>2688</v>
      </c>
      <c r="P31" t="s">
        <v>31</v>
      </c>
      <c r="Q31">
        <v>2</v>
      </c>
      <c r="R31">
        <v>5</v>
      </c>
      <c r="S31" t="s">
        <v>45</v>
      </c>
      <c r="T31" t="s">
        <v>84</v>
      </c>
      <c r="U31" t="s">
        <v>34</v>
      </c>
    </row>
    <row r="32" spans="1:21">
      <c r="A32">
        <v>6838</v>
      </c>
      <c r="B32" t="s">
        <v>124</v>
      </c>
      <c r="C32" t="s">
        <v>36</v>
      </c>
      <c r="D32">
        <v>45</v>
      </c>
      <c r="E32" t="s">
        <v>56</v>
      </c>
      <c r="F32" t="s">
        <v>47</v>
      </c>
      <c r="G32" t="s">
        <v>67</v>
      </c>
      <c r="H32" t="s">
        <v>49</v>
      </c>
      <c r="I32" t="s">
        <v>125</v>
      </c>
      <c r="J32" s="2">
        <v>42246</v>
      </c>
      <c r="K32" t="s">
        <v>95</v>
      </c>
      <c r="L32" t="s">
        <v>42</v>
      </c>
      <c r="M32">
        <v>81943</v>
      </c>
      <c r="N32" t="s">
        <v>30</v>
      </c>
      <c r="O32">
        <v>2255</v>
      </c>
      <c r="P32" t="s">
        <v>31</v>
      </c>
      <c r="Q32">
        <v>18</v>
      </c>
      <c r="R32">
        <v>2</v>
      </c>
      <c r="S32" t="s">
        <v>44</v>
      </c>
      <c r="T32" t="s">
        <v>62</v>
      </c>
      <c r="U32" t="s">
        <v>34</v>
      </c>
    </row>
    <row r="33" spans="1:21">
      <c r="A33">
        <v>9544</v>
      </c>
      <c r="B33" t="s">
        <v>126</v>
      </c>
      <c r="C33" t="s">
        <v>36</v>
      </c>
      <c r="D33">
        <v>52</v>
      </c>
      <c r="E33" t="s">
        <v>86</v>
      </c>
      <c r="F33" t="s">
        <v>89</v>
      </c>
      <c r="G33" t="s">
        <v>48</v>
      </c>
      <c r="H33" t="s">
        <v>40</v>
      </c>
      <c r="I33" t="s">
        <v>127</v>
      </c>
      <c r="J33" s="2">
        <v>43400</v>
      </c>
      <c r="K33" t="s">
        <v>95</v>
      </c>
      <c r="L33" t="s">
        <v>42</v>
      </c>
      <c r="M33">
        <v>47627</v>
      </c>
      <c r="N33" t="s">
        <v>30</v>
      </c>
      <c r="O33">
        <v>1221</v>
      </c>
      <c r="P33" t="s">
        <v>44</v>
      </c>
      <c r="Q33">
        <v>4</v>
      </c>
      <c r="R33">
        <v>3</v>
      </c>
      <c r="S33" t="s">
        <v>44</v>
      </c>
      <c r="T33" t="s">
        <v>53</v>
      </c>
      <c r="U33" t="s">
        <v>44</v>
      </c>
    </row>
    <row r="34" spans="1:21">
      <c r="A34">
        <v>8012</v>
      </c>
      <c r="B34" t="s">
        <v>128</v>
      </c>
      <c r="C34" t="s">
        <v>22</v>
      </c>
      <c r="D34">
        <v>52</v>
      </c>
      <c r="E34" t="s">
        <v>86</v>
      </c>
      <c r="F34" t="s">
        <v>24</v>
      </c>
      <c r="G34" t="s">
        <v>25</v>
      </c>
      <c r="H34" t="s">
        <v>74</v>
      </c>
      <c r="I34" t="s">
        <v>129</v>
      </c>
      <c r="J34" s="2">
        <v>43338</v>
      </c>
      <c r="K34" t="s">
        <v>95</v>
      </c>
      <c r="L34" t="s">
        <v>42</v>
      </c>
      <c r="M34">
        <v>56162</v>
      </c>
      <c r="N34" t="s">
        <v>52</v>
      </c>
      <c r="O34">
        <v>6560</v>
      </c>
      <c r="P34" t="s">
        <v>61</v>
      </c>
      <c r="Q34">
        <v>9</v>
      </c>
      <c r="R34">
        <v>4</v>
      </c>
      <c r="S34" t="s">
        <v>45</v>
      </c>
      <c r="T34" t="s">
        <v>69</v>
      </c>
      <c r="U34" t="s">
        <v>44</v>
      </c>
    </row>
    <row r="35" spans="1:21">
      <c r="A35">
        <v>9374</v>
      </c>
      <c r="B35" t="s">
        <v>130</v>
      </c>
      <c r="C35" t="s">
        <v>22</v>
      </c>
      <c r="D35">
        <v>42</v>
      </c>
      <c r="E35" t="s">
        <v>56</v>
      </c>
      <c r="F35" t="s">
        <v>38</v>
      </c>
      <c r="G35" t="s">
        <v>48</v>
      </c>
      <c r="H35" t="s">
        <v>49</v>
      </c>
      <c r="I35" t="s">
        <v>131</v>
      </c>
      <c r="J35" s="2">
        <v>45131</v>
      </c>
      <c r="K35" t="s">
        <v>59</v>
      </c>
      <c r="L35" t="s">
        <v>51</v>
      </c>
      <c r="M35">
        <v>95734</v>
      </c>
      <c r="N35" t="s">
        <v>30</v>
      </c>
      <c r="O35">
        <v>4854</v>
      </c>
      <c r="P35" t="s">
        <v>31</v>
      </c>
      <c r="Q35">
        <v>13</v>
      </c>
      <c r="R35">
        <v>2</v>
      </c>
      <c r="S35" t="s">
        <v>32</v>
      </c>
      <c r="T35" t="s">
        <v>33</v>
      </c>
      <c r="U35" t="s">
        <v>34</v>
      </c>
    </row>
    <row r="36" spans="1:21">
      <c r="A36">
        <v>3487</v>
      </c>
      <c r="B36" t="s">
        <v>132</v>
      </c>
      <c r="C36" t="s">
        <v>36</v>
      </c>
      <c r="D36">
        <v>58</v>
      </c>
      <c r="E36" t="s">
        <v>64</v>
      </c>
      <c r="F36" t="s">
        <v>38</v>
      </c>
      <c r="G36" t="s">
        <v>39</v>
      </c>
      <c r="H36" t="s">
        <v>57</v>
      </c>
      <c r="I36" t="s">
        <v>133</v>
      </c>
      <c r="J36" s="2">
        <v>43290</v>
      </c>
      <c r="K36" t="s">
        <v>59</v>
      </c>
      <c r="L36" t="s">
        <v>51</v>
      </c>
      <c r="M36">
        <v>74789</v>
      </c>
      <c r="N36" t="s">
        <v>30</v>
      </c>
      <c r="O36">
        <v>8101</v>
      </c>
      <c r="P36" t="s">
        <v>61</v>
      </c>
      <c r="Q36">
        <v>14</v>
      </c>
      <c r="R36">
        <v>5</v>
      </c>
      <c r="S36" t="s">
        <v>45</v>
      </c>
      <c r="T36" t="s">
        <v>62</v>
      </c>
      <c r="U36" t="s">
        <v>44</v>
      </c>
    </row>
    <row r="37" spans="1:21">
      <c r="A37">
        <v>8445</v>
      </c>
      <c r="B37" t="s">
        <v>134</v>
      </c>
      <c r="C37" t="s">
        <v>22</v>
      </c>
      <c r="D37">
        <v>24</v>
      </c>
      <c r="E37" t="s">
        <v>23</v>
      </c>
      <c r="F37" t="s">
        <v>89</v>
      </c>
      <c r="G37" t="s">
        <v>25</v>
      </c>
      <c r="H37" t="s">
        <v>57</v>
      </c>
      <c r="I37" t="s">
        <v>135</v>
      </c>
      <c r="J37" s="2">
        <v>42725</v>
      </c>
      <c r="K37" t="s">
        <v>28</v>
      </c>
      <c r="L37" t="s">
        <v>51</v>
      </c>
      <c r="M37">
        <v>30137</v>
      </c>
      <c r="N37" t="s">
        <v>43</v>
      </c>
      <c r="O37">
        <v>4031</v>
      </c>
      <c r="P37" t="s">
        <v>44</v>
      </c>
      <c r="Q37">
        <v>5</v>
      </c>
      <c r="R37">
        <v>3</v>
      </c>
      <c r="S37" t="s">
        <v>44</v>
      </c>
      <c r="T37" t="s">
        <v>53</v>
      </c>
      <c r="U37" t="s">
        <v>34</v>
      </c>
    </row>
    <row r="38" spans="1:21">
      <c r="A38">
        <v>1550</v>
      </c>
      <c r="B38" t="s">
        <v>136</v>
      </c>
      <c r="C38" t="s">
        <v>36</v>
      </c>
      <c r="D38">
        <v>21</v>
      </c>
      <c r="E38" t="s">
        <v>23</v>
      </c>
      <c r="F38" t="s">
        <v>38</v>
      </c>
      <c r="G38" t="s">
        <v>25</v>
      </c>
      <c r="H38" t="s">
        <v>26</v>
      </c>
      <c r="I38" t="s">
        <v>137</v>
      </c>
      <c r="J38" s="2">
        <v>43643</v>
      </c>
      <c r="K38" t="s">
        <v>28</v>
      </c>
      <c r="L38" t="s">
        <v>51</v>
      </c>
      <c r="M38">
        <v>95510</v>
      </c>
      <c r="N38" t="s">
        <v>30</v>
      </c>
      <c r="O38">
        <v>6811</v>
      </c>
      <c r="P38" t="s">
        <v>31</v>
      </c>
      <c r="Q38">
        <v>18</v>
      </c>
      <c r="R38">
        <v>4</v>
      </c>
      <c r="S38" t="s">
        <v>45</v>
      </c>
      <c r="T38" t="s">
        <v>84</v>
      </c>
      <c r="U38" t="s">
        <v>34</v>
      </c>
    </row>
    <row r="39" spans="1:21">
      <c r="A39">
        <v>9968</v>
      </c>
      <c r="B39" t="s">
        <v>138</v>
      </c>
      <c r="C39" t="s">
        <v>36</v>
      </c>
      <c r="D39">
        <v>58</v>
      </c>
      <c r="E39" t="s">
        <v>64</v>
      </c>
      <c r="F39" t="s">
        <v>38</v>
      </c>
      <c r="G39" t="s">
        <v>67</v>
      </c>
      <c r="H39" t="s">
        <v>26</v>
      </c>
      <c r="I39" t="s">
        <v>139</v>
      </c>
      <c r="J39" s="2">
        <v>44435</v>
      </c>
      <c r="K39" t="s">
        <v>59</v>
      </c>
      <c r="L39" t="s">
        <v>29</v>
      </c>
      <c r="M39">
        <v>80325</v>
      </c>
      <c r="N39" t="s">
        <v>43</v>
      </c>
      <c r="O39">
        <v>6230</v>
      </c>
      <c r="P39" t="s">
        <v>31</v>
      </c>
      <c r="Q39">
        <v>5</v>
      </c>
      <c r="R39">
        <v>4</v>
      </c>
      <c r="S39" t="s">
        <v>44</v>
      </c>
      <c r="T39" t="s">
        <v>62</v>
      </c>
      <c r="U39" t="s">
        <v>54</v>
      </c>
    </row>
    <row r="40" spans="1:21">
      <c r="A40">
        <v>8029</v>
      </c>
      <c r="B40" t="s">
        <v>140</v>
      </c>
      <c r="C40" t="s">
        <v>22</v>
      </c>
      <c r="D40">
        <v>57</v>
      </c>
      <c r="E40" t="s">
        <v>64</v>
      </c>
      <c r="F40" t="s">
        <v>73</v>
      </c>
      <c r="G40" t="s">
        <v>102</v>
      </c>
      <c r="H40" t="s">
        <v>74</v>
      </c>
      <c r="I40" t="s">
        <v>141</v>
      </c>
      <c r="J40" s="2">
        <v>42883</v>
      </c>
      <c r="K40" t="s">
        <v>95</v>
      </c>
      <c r="L40" t="s">
        <v>42</v>
      </c>
      <c r="M40">
        <v>34109</v>
      </c>
      <c r="N40" t="s">
        <v>43</v>
      </c>
      <c r="O40">
        <v>9232</v>
      </c>
      <c r="P40" t="s">
        <v>31</v>
      </c>
      <c r="Q40">
        <v>13</v>
      </c>
      <c r="R40">
        <v>3</v>
      </c>
      <c r="S40" t="s">
        <v>32</v>
      </c>
      <c r="T40" t="s">
        <v>33</v>
      </c>
      <c r="U40" t="s">
        <v>34</v>
      </c>
    </row>
    <row r="41" spans="1:21">
      <c r="A41">
        <v>8847</v>
      </c>
      <c r="B41" t="s">
        <v>142</v>
      </c>
      <c r="C41" t="s">
        <v>36</v>
      </c>
      <c r="D41">
        <v>41</v>
      </c>
      <c r="E41" t="s">
        <v>56</v>
      </c>
      <c r="F41" t="s">
        <v>73</v>
      </c>
      <c r="G41" t="s">
        <v>67</v>
      </c>
      <c r="H41" t="s">
        <v>26</v>
      </c>
      <c r="I41" t="s">
        <v>143</v>
      </c>
      <c r="J41" s="2">
        <v>44591</v>
      </c>
      <c r="K41" t="s">
        <v>95</v>
      </c>
      <c r="L41" t="s">
        <v>51</v>
      </c>
      <c r="M41">
        <v>73330</v>
      </c>
      <c r="N41" t="s">
        <v>30</v>
      </c>
      <c r="O41">
        <v>2276</v>
      </c>
      <c r="P41" t="s">
        <v>61</v>
      </c>
      <c r="Q41">
        <v>5</v>
      </c>
      <c r="R41">
        <v>1</v>
      </c>
      <c r="S41" t="s">
        <v>44</v>
      </c>
      <c r="T41" t="s">
        <v>53</v>
      </c>
      <c r="U41" t="s">
        <v>54</v>
      </c>
    </row>
    <row r="42" spans="1:21">
      <c r="A42">
        <v>1955</v>
      </c>
      <c r="B42" t="s">
        <v>144</v>
      </c>
      <c r="C42" t="s">
        <v>22</v>
      </c>
      <c r="D42">
        <v>58</v>
      </c>
      <c r="E42" t="s">
        <v>64</v>
      </c>
      <c r="F42" t="s">
        <v>47</v>
      </c>
      <c r="G42" t="s">
        <v>48</v>
      </c>
      <c r="H42" t="s">
        <v>40</v>
      </c>
      <c r="I42" t="s">
        <v>145</v>
      </c>
      <c r="J42" s="2">
        <v>42845</v>
      </c>
      <c r="K42" t="s">
        <v>59</v>
      </c>
      <c r="L42" t="s">
        <v>51</v>
      </c>
      <c r="M42">
        <v>46567</v>
      </c>
      <c r="N42" t="s">
        <v>60</v>
      </c>
      <c r="O42">
        <v>2825</v>
      </c>
      <c r="P42" t="s">
        <v>31</v>
      </c>
      <c r="Q42">
        <v>15</v>
      </c>
      <c r="R42">
        <v>3</v>
      </c>
      <c r="S42" t="s">
        <v>44</v>
      </c>
      <c r="T42" t="s">
        <v>84</v>
      </c>
      <c r="U42" t="s">
        <v>54</v>
      </c>
    </row>
    <row r="43" spans="1:21">
      <c r="A43">
        <v>4522</v>
      </c>
      <c r="B43" t="s">
        <v>146</v>
      </c>
      <c r="C43" t="s">
        <v>22</v>
      </c>
      <c r="D43">
        <v>36</v>
      </c>
      <c r="E43" t="s">
        <v>56</v>
      </c>
      <c r="F43" t="s">
        <v>24</v>
      </c>
      <c r="G43" t="s">
        <v>102</v>
      </c>
      <c r="H43" t="s">
        <v>26</v>
      </c>
      <c r="I43" t="s">
        <v>147</v>
      </c>
      <c r="J43" s="2">
        <v>43668</v>
      </c>
      <c r="K43" t="s">
        <v>59</v>
      </c>
      <c r="L43" t="s">
        <v>42</v>
      </c>
      <c r="M43">
        <v>39795</v>
      </c>
      <c r="N43" t="s">
        <v>60</v>
      </c>
      <c r="O43">
        <v>1670</v>
      </c>
      <c r="P43" t="s">
        <v>44</v>
      </c>
      <c r="Q43">
        <v>0</v>
      </c>
      <c r="R43">
        <v>2</v>
      </c>
      <c r="S43" t="s">
        <v>45</v>
      </c>
      <c r="T43" t="s">
        <v>69</v>
      </c>
      <c r="U43" t="s">
        <v>44</v>
      </c>
    </row>
    <row r="44" spans="1:21">
      <c r="A44">
        <v>3078</v>
      </c>
      <c r="B44" t="s">
        <v>148</v>
      </c>
      <c r="C44" t="s">
        <v>22</v>
      </c>
      <c r="D44">
        <v>21</v>
      </c>
      <c r="E44" t="s">
        <v>23</v>
      </c>
      <c r="F44" t="s">
        <v>24</v>
      </c>
      <c r="G44" t="s">
        <v>25</v>
      </c>
      <c r="H44" t="s">
        <v>74</v>
      </c>
      <c r="I44" t="s">
        <v>149</v>
      </c>
      <c r="J44" s="2">
        <v>43433</v>
      </c>
      <c r="K44" t="s">
        <v>59</v>
      </c>
      <c r="L44" t="s">
        <v>51</v>
      </c>
      <c r="M44">
        <v>59506</v>
      </c>
      <c r="N44" t="s">
        <v>60</v>
      </c>
      <c r="O44">
        <v>4428</v>
      </c>
      <c r="P44" t="s">
        <v>61</v>
      </c>
      <c r="Q44">
        <v>0</v>
      </c>
      <c r="R44">
        <v>1</v>
      </c>
      <c r="S44" t="s">
        <v>44</v>
      </c>
      <c r="T44" t="s">
        <v>69</v>
      </c>
      <c r="U44" t="s">
        <v>34</v>
      </c>
    </row>
    <row r="45" spans="1:21">
      <c r="A45">
        <v>6357</v>
      </c>
      <c r="B45" t="s">
        <v>150</v>
      </c>
      <c r="C45" t="s">
        <v>22</v>
      </c>
      <c r="D45">
        <v>46</v>
      </c>
      <c r="E45" t="s">
        <v>86</v>
      </c>
      <c r="F45" t="s">
        <v>47</v>
      </c>
      <c r="G45" t="s">
        <v>39</v>
      </c>
      <c r="H45" t="s">
        <v>74</v>
      </c>
      <c r="I45" t="s">
        <v>151</v>
      </c>
      <c r="J45" s="2">
        <v>44879</v>
      </c>
      <c r="K45" t="s">
        <v>59</v>
      </c>
      <c r="L45" t="s">
        <v>51</v>
      </c>
      <c r="M45">
        <v>49058</v>
      </c>
      <c r="N45" t="s">
        <v>43</v>
      </c>
      <c r="O45">
        <v>4396</v>
      </c>
      <c r="P45" t="s">
        <v>44</v>
      </c>
      <c r="Q45">
        <v>5</v>
      </c>
      <c r="R45">
        <v>1</v>
      </c>
      <c r="S45" t="s">
        <v>44</v>
      </c>
      <c r="T45" t="s">
        <v>69</v>
      </c>
      <c r="U45" t="s">
        <v>44</v>
      </c>
    </row>
    <row r="46" spans="1:21">
      <c r="A46">
        <v>7951</v>
      </c>
      <c r="B46" t="s">
        <v>152</v>
      </c>
      <c r="C46" t="s">
        <v>22</v>
      </c>
      <c r="D46">
        <v>36</v>
      </c>
      <c r="E46" t="s">
        <v>56</v>
      </c>
      <c r="F46" t="s">
        <v>73</v>
      </c>
      <c r="G46" t="s">
        <v>48</v>
      </c>
      <c r="H46" t="s">
        <v>74</v>
      </c>
      <c r="I46" t="s">
        <v>153</v>
      </c>
      <c r="J46" s="2">
        <v>42423</v>
      </c>
      <c r="K46" t="s">
        <v>59</v>
      </c>
      <c r="L46" t="s">
        <v>29</v>
      </c>
      <c r="M46">
        <v>98612</v>
      </c>
      <c r="N46" t="s">
        <v>60</v>
      </c>
      <c r="O46">
        <v>1168</v>
      </c>
      <c r="P46" t="s">
        <v>44</v>
      </c>
      <c r="Q46">
        <v>9</v>
      </c>
      <c r="R46">
        <v>2</v>
      </c>
      <c r="S46" t="s">
        <v>45</v>
      </c>
      <c r="T46" t="s">
        <v>33</v>
      </c>
      <c r="U46" t="s">
        <v>34</v>
      </c>
    </row>
    <row r="47" spans="1:21">
      <c r="A47">
        <v>9228</v>
      </c>
      <c r="B47" t="s">
        <v>154</v>
      </c>
      <c r="C47" t="s">
        <v>36</v>
      </c>
      <c r="D47">
        <v>41</v>
      </c>
      <c r="E47" t="s">
        <v>56</v>
      </c>
      <c r="F47" t="s">
        <v>89</v>
      </c>
      <c r="G47" t="s">
        <v>67</v>
      </c>
      <c r="H47" t="s">
        <v>40</v>
      </c>
      <c r="I47" t="s">
        <v>155</v>
      </c>
      <c r="J47" s="2">
        <v>43238</v>
      </c>
      <c r="K47" t="s">
        <v>95</v>
      </c>
      <c r="L47" t="s">
        <v>42</v>
      </c>
      <c r="M47">
        <v>38201</v>
      </c>
      <c r="N47" t="s">
        <v>60</v>
      </c>
      <c r="O47">
        <v>7111</v>
      </c>
      <c r="P47" t="s">
        <v>31</v>
      </c>
      <c r="Q47">
        <v>8</v>
      </c>
      <c r="R47">
        <v>4</v>
      </c>
      <c r="S47" t="s">
        <v>32</v>
      </c>
      <c r="T47" t="s">
        <v>69</v>
      </c>
      <c r="U47" t="s">
        <v>44</v>
      </c>
    </row>
    <row r="48" spans="1:21">
      <c r="A48">
        <v>8988</v>
      </c>
      <c r="B48" t="s">
        <v>156</v>
      </c>
      <c r="C48" t="s">
        <v>36</v>
      </c>
      <c r="D48">
        <v>25</v>
      </c>
      <c r="E48" t="s">
        <v>23</v>
      </c>
      <c r="F48" t="s">
        <v>24</v>
      </c>
      <c r="G48" t="s">
        <v>48</v>
      </c>
      <c r="H48" t="s">
        <v>49</v>
      </c>
      <c r="I48" t="s">
        <v>157</v>
      </c>
      <c r="J48" s="2">
        <v>45360</v>
      </c>
      <c r="K48" t="s">
        <v>95</v>
      </c>
      <c r="L48" t="s">
        <v>42</v>
      </c>
      <c r="M48">
        <v>92919</v>
      </c>
      <c r="N48" t="s">
        <v>52</v>
      </c>
      <c r="O48">
        <v>9497</v>
      </c>
      <c r="P48" t="s">
        <v>31</v>
      </c>
      <c r="Q48">
        <v>7</v>
      </c>
      <c r="R48">
        <v>2</v>
      </c>
      <c r="S48" t="s">
        <v>44</v>
      </c>
      <c r="T48" t="s">
        <v>69</v>
      </c>
      <c r="U48" t="s">
        <v>54</v>
      </c>
    </row>
    <row r="49" spans="1:21">
      <c r="A49">
        <v>1952</v>
      </c>
      <c r="B49" t="s">
        <v>158</v>
      </c>
      <c r="C49" t="s">
        <v>22</v>
      </c>
      <c r="D49">
        <v>29</v>
      </c>
      <c r="E49" t="s">
        <v>37</v>
      </c>
      <c r="F49" t="s">
        <v>89</v>
      </c>
      <c r="G49" t="s">
        <v>25</v>
      </c>
      <c r="H49" t="s">
        <v>40</v>
      </c>
      <c r="I49" t="s">
        <v>159</v>
      </c>
      <c r="J49" s="2">
        <v>45378</v>
      </c>
      <c r="K49" t="s">
        <v>28</v>
      </c>
      <c r="L49" t="s">
        <v>51</v>
      </c>
      <c r="M49">
        <v>45188</v>
      </c>
      <c r="N49" t="s">
        <v>60</v>
      </c>
      <c r="O49">
        <v>9591</v>
      </c>
      <c r="P49" t="s">
        <v>61</v>
      </c>
      <c r="Q49">
        <v>18</v>
      </c>
      <c r="R49">
        <v>3</v>
      </c>
      <c r="S49" t="s">
        <v>32</v>
      </c>
      <c r="T49" t="s">
        <v>69</v>
      </c>
      <c r="U49" t="s">
        <v>44</v>
      </c>
    </row>
    <row r="50" spans="1:21">
      <c r="A50">
        <v>5760</v>
      </c>
      <c r="B50" t="s">
        <v>160</v>
      </c>
      <c r="C50" t="s">
        <v>22</v>
      </c>
      <c r="D50">
        <v>59</v>
      </c>
      <c r="E50" t="s">
        <v>64</v>
      </c>
      <c r="F50" t="s">
        <v>47</v>
      </c>
      <c r="G50" t="s">
        <v>39</v>
      </c>
      <c r="H50" t="s">
        <v>26</v>
      </c>
      <c r="I50" t="s">
        <v>161</v>
      </c>
      <c r="J50" s="2">
        <v>43822</v>
      </c>
      <c r="K50" t="s">
        <v>28</v>
      </c>
      <c r="L50" t="s">
        <v>42</v>
      </c>
      <c r="M50">
        <v>34927</v>
      </c>
      <c r="N50" t="s">
        <v>52</v>
      </c>
      <c r="O50">
        <v>6996</v>
      </c>
      <c r="P50" t="s">
        <v>61</v>
      </c>
      <c r="Q50">
        <v>16</v>
      </c>
      <c r="R50">
        <v>1</v>
      </c>
      <c r="S50" t="s">
        <v>45</v>
      </c>
      <c r="T50" t="s">
        <v>33</v>
      </c>
      <c r="U50" t="s">
        <v>34</v>
      </c>
    </row>
    <row r="51" spans="1:21">
      <c r="A51">
        <v>5742</v>
      </c>
      <c r="B51" t="s">
        <v>162</v>
      </c>
      <c r="C51" t="s">
        <v>22</v>
      </c>
      <c r="D51">
        <v>27</v>
      </c>
      <c r="E51" t="s">
        <v>37</v>
      </c>
      <c r="F51" t="s">
        <v>24</v>
      </c>
      <c r="G51" t="s">
        <v>48</v>
      </c>
      <c r="H51" t="s">
        <v>57</v>
      </c>
      <c r="I51" t="s">
        <v>163</v>
      </c>
      <c r="J51" s="2">
        <v>42607</v>
      </c>
      <c r="K51" t="s">
        <v>28</v>
      </c>
      <c r="L51" t="s">
        <v>42</v>
      </c>
      <c r="M51">
        <v>33183</v>
      </c>
      <c r="N51" t="s">
        <v>60</v>
      </c>
      <c r="O51">
        <v>1659</v>
      </c>
      <c r="P51" t="s">
        <v>44</v>
      </c>
      <c r="Q51">
        <v>11</v>
      </c>
      <c r="R51">
        <v>1</v>
      </c>
      <c r="S51" t="s">
        <v>32</v>
      </c>
      <c r="T51" t="s">
        <v>62</v>
      </c>
      <c r="U51" t="s">
        <v>44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947E-1031-4205-AA08-3176EE6E02E4}">
  <dimension ref="B2:X24"/>
  <sheetViews>
    <sheetView zoomScale="70" zoomScaleNormal="70" workbookViewId="0">
      <selection activeCell="Y17" sqref="Y17"/>
    </sheetView>
  </sheetViews>
  <sheetFormatPr defaultRowHeight="14.5"/>
  <cols>
    <col min="1" max="1" width="5" customWidth="1"/>
    <col min="2" max="2" width="13.36328125" bestFit="1" customWidth="1"/>
    <col min="3" max="3" width="16.81640625" bestFit="1" customWidth="1"/>
    <col min="4" max="4" width="3.1796875" customWidth="1"/>
    <col min="5" max="5" width="13.36328125" bestFit="1" customWidth="1"/>
    <col min="6" max="6" width="12.1796875" bestFit="1" customWidth="1"/>
    <col min="7" max="7" width="17.36328125" bestFit="1" customWidth="1"/>
    <col min="8" max="8" width="5.08984375" customWidth="1"/>
    <col min="9" max="9" width="16.81640625" bestFit="1" customWidth="1"/>
    <col min="10" max="10" width="16.453125" bestFit="1" customWidth="1"/>
    <col min="11" max="11" width="4.81640625" bestFit="1" customWidth="1"/>
    <col min="12" max="12" width="10.36328125" bestFit="1" customWidth="1"/>
    <col min="14" max="14" width="13.36328125" bestFit="1" customWidth="1"/>
    <col min="15" max="15" width="16.81640625" bestFit="1" customWidth="1"/>
    <col min="17" max="17" width="13.81640625" bestFit="1" customWidth="1"/>
    <col min="18" max="18" width="16.81640625" bestFit="1" customWidth="1"/>
    <col min="20" max="20" width="13.36328125" bestFit="1" customWidth="1"/>
    <col min="21" max="21" width="16.81640625" bestFit="1" customWidth="1"/>
    <col min="23" max="23" width="13.36328125" bestFit="1" customWidth="1"/>
    <col min="24" max="24" width="26.54296875" bestFit="1" customWidth="1"/>
  </cols>
  <sheetData>
    <row r="2" spans="2:24" ht="22.5" customHeight="1">
      <c r="B2" s="8" t="s">
        <v>167</v>
      </c>
      <c r="C2" s="8"/>
      <c r="E2" s="13" t="s">
        <v>170</v>
      </c>
      <c r="F2" s="5"/>
      <c r="G2" s="12"/>
      <c r="I2" s="20" t="s">
        <v>172</v>
      </c>
      <c r="J2" s="20"/>
      <c r="K2" s="20"/>
      <c r="L2" s="20"/>
      <c r="N2" s="20" t="s">
        <v>173</v>
      </c>
      <c r="O2" s="20"/>
      <c r="Q2" s="20" t="s">
        <v>19</v>
      </c>
      <c r="R2" s="20"/>
      <c r="T2" s="21" t="s">
        <v>175</v>
      </c>
      <c r="U2" s="22"/>
      <c r="W2" s="21" t="s">
        <v>176</v>
      </c>
      <c r="X2" s="22"/>
    </row>
    <row r="3" spans="2:24" s="15" customFormat="1" ht="22.5" customHeight="1">
      <c r="B3" s="14"/>
      <c r="C3" s="14"/>
      <c r="E3" s="16"/>
      <c r="F3" s="17"/>
      <c r="G3" s="18"/>
      <c r="I3" s="17"/>
      <c r="J3" s="17"/>
      <c r="K3" s="17"/>
      <c r="L3" s="17"/>
      <c r="N3" s="17"/>
      <c r="O3" s="17"/>
      <c r="Q3" s="17"/>
      <c r="R3" s="17"/>
    </row>
    <row r="4" spans="2:24">
      <c r="B4" s="3" t="s">
        <v>164</v>
      </c>
      <c r="C4" t="s">
        <v>166</v>
      </c>
      <c r="E4" s="3" t="s">
        <v>164</v>
      </c>
      <c r="F4" t="s">
        <v>169</v>
      </c>
      <c r="G4" t="s">
        <v>174</v>
      </c>
      <c r="I4" s="3" t="s">
        <v>166</v>
      </c>
      <c r="J4" s="3" t="s">
        <v>171</v>
      </c>
      <c r="N4" s="3" t="s">
        <v>164</v>
      </c>
      <c r="O4" t="s">
        <v>166</v>
      </c>
      <c r="Q4" s="3" t="s">
        <v>164</v>
      </c>
      <c r="R4" t="s">
        <v>166</v>
      </c>
      <c r="T4" s="3" t="s">
        <v>164</v>
      </c>
      <c r="U4" t="s">
        <v>166</v>
      </c>
      <c r="W4" s="3" t="s">
        <v>164</v>
      </c>
      <c r="X4" t="s">
        <v>177</v>
      </c>
    </row>
    <row r="5" spans="2:24">
      <c r="B5" s="4" t="s">
        <v>59</v>
      </c>
      <c r="C5" s="23">
        <v>17</v>
      </c>
      <c r="E5" s="4" t="s">
        <v>102</v>
      </c>
      <c r="F5" s="6">
        <v>167041</v>
      </c>
      <c r="G5" s="6">
        <v>28</v>
      </c>
      <c r="H5" s="6"/>
      <c r="I5" s="3" t="s">
        <v>164</v>
      </c>
      <c r="J5" t="s">
        <v>22</v>
      </c>
      <c r="K5" t="s">
        <v>36</v>
      </c>
      <c r="L5" t="s">
        <v>165</v>
      </c>
      <c r="N5" s="4" t="s">
        <v>42</v>
      </c>
      <c r="O5" s="23">
        <v>23</v>
      </c>
      <c r="Q5" s="4" t="s">
        <v>69</v>
      </c>
      <c r="R5" s="23">
        <v>12</v>
      </c>
      <c r="T5" s="4" t="s">
        <v>38</v>
      </c>
      <c r="U5" s="23">
        <v>14</v>
      </c>
      <c r="W5" s="4" t="s">
        <v>26</v>
      </c>
      <c r="X5" s="19">
        <v>2.5833333333333335</v>
      </c>
    </row>
    <row r="6" spans="2:24">
      <c r="B6" s="4" t="s">
        <v>28</v>
      </c>
      <c r="C6" s="23">
        <v>20</v>
      </c>
      <c r="E6" s="4" t="s">
        <v>39</v>
      </c>
      <c r="F6" s="6">
        <v>613842</v>
      </c>
      <c r="G6" s="6">
        <v>110</v>
      </c>
      <c r="H6" s="6"/>
      <c r="I6" s="4" t="s">
        <v>23</v>
      </c>
      <c r="J6" s="23">
        <v>6</v>
      </c>
      <c r="K6" s="23">
        <v>3</v>
      </c>
      <c r="L6" s="23">
        <v>9</v>
      </c>
      <c r="N6" s="4" t="s">
        <v>29</v>
      </c>
      <c r="O6" s="23">
        <v>8</v>
      </c>
      <c r="Q6" s="4" t="s">
        <v>33</v>
      </c>
      <c r="R6" s="23">
        <v>11</v>
      </c>
      <c r="T6" s="4" t="s">
        <v>24</v>
      </c>
      <c r="U6" s="23">
        <v>10</v>
      </c>
      <c r="W6" s="4" t="s">
        <v>40</v>
      </c>
      <c r="X6" s="19">
        <v>3.3</v>
      </c>
    </row>
    <row r="7" spans="2:24">
      <c r="B7" s="4" t="s">
        <v>95</v>
      </c>
      <c r="C7" s="23">
        <v>13</v>
      </c>
      <c r="E7" s="4" t="s">
        <v>67</v>
      </c>
      <c r="F7" s="6">
        <v>633594</v>
      </c>
      <c r="G7" s="6">
        <v>104</v>
      </c>
      <c r="H7" s="6"/>
      <c r="I7" s="4" t="s">
        <v>37</v>
      </c>
      <c r="J7" s="23">
        <v>7</v>
      </c>
      <c r="K7" s="23">
        <v>6</v>
      </c>
      <c r="L7" s="23">
        <v>13</v>
      </c>
      <c r="N7" s="4" t="s">
        <v>51</v>
      </c>
      <c r="O7" s="23">
        <v>19</v>
      </c>
      <c r="Q7" s="4" t="s">
        <v>84</v>
      </c>
      <c r="R7" s="23">
        <v>7</v>
      </c>
      <c r="T7" s="4" t="s">
        <v>89</v>
      </c>
      <c r="U7" s="23">
        <v>7</v>
      </c>
      <c r="W7" s="4" t="s">
        <v>74</v>
      </c>
      <c r="X7" s="19">
        <v>2.25</v>
      </c>
    </row>
    <row r="8" spans="2:24">
      <c r="B8" s="4" t="s">
        <v>165</v>
      </c>
      <c r="C8" s="23">
        <v>50</v>
      </c>
      <c r="E8" s="4" t="s">
        <v>48</v>
      </c>
      <c r="F8" s="6">
        <v>959266</v>
      </c>
      <c r="G8" s="6">
        <v>123</v>
      </c>
      <c r="H8" s="6"/>
      <c r="I8" s="4" t="s">
        <v>56</v>
      </c>
      <c r="J8" s="23">
        <v>5</v>
      </c>
      <c r="K8" s="23">
        <v>7</v>
      </c>
      <c r="L8" s="23">
        <v>12</v>
      </c>
      <c r="N8" s="4" t="s">
        <v>165</v>
      </c>
      <c r="O8" s="23">
        <v>50</v>
      </c>
      <c r="Q8" s="4" t="s">
        <v>53</v>
      </c>
      <c r="R8" s="23">
        <v>11</v>
      </c>
      <c r="T8" s="4" t="s">
        <v>73</v>
      </c>
      <c r="U8" s="23">
        <v>10</v>
      </c>
      <c r="W8" s="4" t="s">
        <v>49</v>
      </c>
      <c r="X8" s="19">
        <v>2.3636363636363638</v>
      </c>
    </row>
    <row r="9" spans="2:24">
      <c r="E9" s="4" t="s">
        <v>25</v>
      </c>
      <c r="F9" s="6">
        <v>731170</v>
      </c>
      <c r="G9" s="6">
        <v>122</v>
      </c>
      <c r="H9" s="6"/>
      <c r="I9" s="4" t="s">
        <v>86</v>
      </c>
      <c r="J9" s="23">
        <v>4</v>
      </c>
      <c r="K9" s="23">
        <v>3</v>
      </c>
      <c r="L9" s="23">
        <v>7</v>
      </c>
      <c r="Q9" s="4" t="s">
        <v>62</v>
      </c>
      <c r="R9" s="23">
        <v>9</v>
      </c>
      <c r="T9" s="4" t="s">
        <v>47</v>
      </c>
      <c r="U9" s="23">
        <v>9</v>
      </c>
      <c r="W9" s="4" t="s">
        <v>57</v>
      </c>
      <c r="X9" s="19">
        <v>2.5555555555555554</v>
      </c>
    </row>
    <row r="10" spans="2:24">
      <c r="B10" s="4" t="s">
        <v>59</v>
      </c>
      <c r="C10">
        <f>IFERROR(GETPIVOTDATA("Full Name",$B$4,"Employment Status","Contract"),"0")</f>
        <v>17</v>
      </c>
      <c r="E10" s="4" t="s">
        <v>165</v>
      </c>
      <c r="F10" s="23">
        <v>3104913</v>
      </c>
      <c r="G10" s="23">
        <v>487</v>
      </c>
      <c r="I10" s="4" t="s">
        <v>64</v>
      </c>
      <c r="J10" s="23">
        <v>4</v>
      </c>
      <c r="K10" s="23">
        <v>5</v>
      </c>
      <c r="L10" s="23">
        <v>9</v>
      </c>
      <c r="Q10" s="4" t="s">
        <v>165</v>
      </c>
      <c r="R10" s="23">
        <v>50</v>
      </c>
      <c r="T10" s="4" t="s">
        <v>165</v>
      </c>
      <c r="U10" s="23">
        <v>50</v>
      </c>
      <c r="W10" s="4" t="s">
        <v>165</v>
      </c>
      <c r="X10" s="23">
        <v>2.62</v>
      </c>
    </row>
    <row r="11" spans="2:24">
      <c r="B11" s="4" t="s">
        <v>28</v>
      </c>
      <c r="C11">
        <f>IFERROR(GETPIVOTDATA("Full Name",$B$4,"Employment Status","Full-Time"),"0")</f>
        <v>20</v>
      </c>
      <c r="I11" s="4" t="s">
        <v>165</v>
      </c>
      <c r="J11" s="23">
        <v>26</v>
      </c>
      <c r="K11" s="23">
        <v>24</v>
      </c>
      <c r="L11" s="23">
        <v>50</v>
      </c>
      <c r="N11" s="4" t="s">
        <v>42</v>
      </c>
      <c r="O11">
        <f>IFERROR(GETPIVOTDATA("Full Name",$N$4,"Work Location","Branch Office"),"0")</f>
        <v>23</v>
      </c>
    </row>
    <row r="12" spans="2:24">
      <c r="B12" s="4" t="s">
        <v>95</v>
      </c>
      <c r="C12">
        <f>IFERROR(GETPIVOTDATA("Full Name",$B$4,"Employment Status","Part-Time"),"0")</f>
        <v>13</v>
      </c>
      <c r="N12" s="4" t="s">
        <v>29</v>
      </c>
      <c r="O12">
        <f>IFERROR(GETPIVOTDATA("Full Name",$N$4,"Work Location","Head Office"),"0")</f>
        <v>8</v>
      </c>
    </row>
    <row r="13" spans="2:24">
      <c r="B13" s="4" t="s">
        <v>168</v>
      </c>
      <c r="C13">
        <f>SUM(C10:C12)</f>
        <v>50</v>
      </c>
      <c r="E13" s="4" t="s">
        <v>102</v>
      </c>
      <c r="F13" s="7">
        <f>IFERROR(GETPIVOTDATA("Salary",$E$4,"Job Title","Analyst"),"0")</f>
        <v>167041</v>
      </c>
      <c r="G13">
        <f>IFERROR(GETPIVOTDATA("Sum of Leave Taken",$E$4,"Job Title","Analyst"),"0")</f>
        <v>28</v>
      </c>
      <c r="N13" s="4" t="s">
        <v>51</v>
      </c>
      <c r="O13">
        <f>IFERROR(GETPIVOTDATA("Full Name",$N$4,"Work Location","Remote"),"0")</f>
        <v>19</v>
      </c>
      <c r="Q13" s="4" t="s">
        <v>69</v>
      </c>
      <c r="R13">
        <f>IFERROR(GETPIVOTDATA("Full Name",$Q$4,"Skills","Communication"),"0")</f>
        <v>12</v>
      </c>
      <c r="T13" s="4" t="s">
        <v>38</v>
      </c>
      <c r="U13">
        <f>IFERROR(GETPIVOTDATA("Full Name",$T$4,"Region","Central"),"0")</f>
        <v>14</v>
      </c>
      <c r="W13" s="4" t="s">
        <v>26</v>
      </c>
      <c r="X13" s="19">
        <f>IFERROR(GETPIVOTDATA("Performance Rating",$W$4,"Department","Finance"),"0")</f>
        <v>2.5833333333333335</v>
      </c>
    </row>
    <row r="14" spans="2:24">
      <c r="E14" s="4" t="s">
        <v>39</v>
      </c>
      <c r="F14" s="7">
        <f>IFERROR(GETPIVOTDATA("Salary",$E$4,"Job Title","Designer"),"0")</f>
        <v>613842</v>
      </c>
      <c r="G14">
        <f>IFERROR(GETPIVOTDATA("Sum of Leave Taken",$E$4,"Job Title","Designer"),"0")</f>
        <v>110</v>
      </c>
      <c r="I14" s="4" t="s">
        <v>23</v>
      </c>
      <c r="J14">
        <f>IFERROR(GETPIVOTDATA("Full Name",$I$4,"Age range","18-25"),"0")</f>
        <v>9</v>
      </c>
      <c r="N14" s="4" t="s">
        <v>168</v>
      </c>
      <c r="O14">
        <f>SUM(O11:O13)</f>
        <v>50</v>
      </c>
      <c r="Q14" s="4" t="s">
        <v>33</v>
      </c>
      <c r="R14">
        <f>IFERROR(GETPIVOTDATA("Full Name",$Q$4,"Skills","Design"),"0")</f>
        <v>11</v>
      </c>
      <c r="T14" s="4" t="s">
        <v>24</v>
      </c>
      <c r="U14">
        <f>IFERROR(GETPIVOTDATA("Full Name",$T$4,"Region","East"),"0")</f>
        <v>10</v>
      </c>
      <c r="W14" s="4" t="s">
        <v>40</v>
      </c>
      <c r="X14" s="19">
        <f>IFERROR(GETPIVOTDATA("Performance Rating",$W$4,"Department","HR"),"0")</f>
        <v>3.3</v>
      </c>
    </row>
    <row r="15" spans="2:24">
      <c r="E15" s="4" t="s">
        <v>67</v>
      </c>
      <c r="F15" s="7">
        <f>IFERROR(GETPIVOTDATA("Salary",$E$4,"Job Title","Developer"),"0")</f>
        <v>633594</v>
      </c>
      <c r="G15">
        <f>IFERROR(GETPIVOTDATA("Sum of Leave Taken",$E$4,"Job Title","Developer"),"0")</f>
        <v>104</v>
      </c>
      <c r="I15" s="4" t="s">
        <v>37</v>
      </c>
      <c r="J15">
        <f>IFERROR(GETPIVOTDATA("Full Name",$I$4,"Age range","26-35"),"0")</f>
        <v>13</v>
      </c>
      <c r="Q15" s="4" t="s">
        <v>84</v>
      </c>
      <c r="R15">
        <f>IFERROR(GETPIVOTDATA("Full Name",$Q$4,"Skills","Excel"),"0")</f>
        <v>7</v>
      </c>
      <c r="T15" s="4" t="s">
        <v>89</v>
      </c>
      <c r="U15">
        <f>IFERROR(GETPIVOTDATA("Full Name",$T$4,"Region","North"),"0")</f>
        <v>7</v>
      </c>
      <c r="W15" s="4" t="s">
        <v>74</v>
      </c>
      <c r="X15" s="19">
        <f>IFERROR(GETPIVOTDATA("Performance Rating",$W$4,"Department","IT"),"0")</f>
        <v>2.25</v>
      </c>
    </row>
    <row r="16" spans="2:24">
      <c r="E16" s="4" t="s">
        <v>48</v>
      </c>
      <c r="F16" s="7">
        <f>IFERROR(GETPIVOTDATA("Salary",$E$4,"Job Title","HR Specialist"),"0")</f>
        <v>959266</v>
      </c>
      <c r="G16">
        <f>IFERROR(GETPIVOTDATA("Sum of Leave Taken",$E$4,"Job Title","HR Specialist"),"0")</f>
        <v>123</v>
      </c>
      <c r="I16" s="4" t="s">
        <v>56</v>
      </c>
      <c r="J16">
        <f>IFERROR(GETPIVOTDATA("Full Name",$I$4,"Age range","36-45"),"0")</f>
        <v>12</v>
      </c>
      <c r="N16" s="9">
        <f>SUM(O11)/SUM($O$11:$O$13)</f>
        <v>0.46</v>
      </c>
      <c r="O16" s="11">
        <f>1-N16</f>
        <v>0.54</v>
      </c>
      <c r="Q16" s="4" t="s">
        <v>53</v>
      </c>
      <c r="R16">
        <f>IFERROR(GETPIVOTDATA("Full Name",$Q$4,"Skills","Management"),"0")</f>
        <v>11</v>
      </c>
      <c r="T16" s="4" t="s">
        <v>73</v>
      </c>
      <c r="U16">
        <f>IFERROR(GETPIVOTDATA("Full Name",$T$4,"Region","South"),"0")</f>
        <v>10</v>
      </c>
      <c r="W16" s="4" t="s">
        <v>49</v>
      </c>
      <c r="X16" s="19">
        <f>IFERROR(GETPIVOTDATA("Performance Rating",$W$4,"Department","Marketing"),"0")</f>
        <v>2.3636363636363638</v>
      </c>
    </row>
    <row r="17" spans="5:24">
      <c r="E17" s="4" t="s">
        <v>25</v>
      </c>
      <c r="F17" s="7">
        <f>IFERROR(GETPIVOTDATA("Salary",$E$4,"Job Title","Manager"),"0")</f>
        <v>731170</v>
      </c>
      <c r="G17">
        <f>IFERROR(GETPIVOTDATA("Sum of Leave Taken",$E$4,"Job Title","Manager"),"0")</f>
        <v>122</v>
      </c>
      <c r="I17" s="4" t="s">
        <v>86</v>
      </c>
      <c r="J17">
        <f>IFERROR(GETPIVOTDATA("Full Name",$I$4,"Age range","46-55"),"0")</f>
        <v>7</v>
      </c>
      <c r="N17" s="9">
        <f>SUM(O12)/SUM($O$11:$O$13)</f>
        <v>0.16</v>
      </c>
      <c r="O17" s="11">
        <f>1-N17</f>
        <v>0.84</v>
      </c>
      <c r="Q17" s="4" t="s">
        <v>62</v>
      </c>
      <c r="R17">
        <f>IFERROR(GETPIVOTDATA("Full Name",$Q$4,"Skills","Python"),"0")</f>
        <v>9</v>
      </c>
      <c r="T17" s="4" t="s">
        <v>47</v>
      </c>
      <c r="U17">
        <f>IFERROR(GETPIVOTDATA("Full Name",$T$4,"Region","West"),"0")</f>
        <v>9</v>
      </c>
      <c r="W17" s="4" t="s">
        <v>57</v>
      </c>
      <c r="X17" s="19">
        <f>IFERROR(GETPIVOTDATA("Performance Rating",$W$4,"Department","Operations"),"0")</f>
        <v>2.5555555555555554</v>
      </c>
    </row>
    <row r="18" spans="5:24">
      <c r="E18" s="4" t="s">
        <v>168</v>
      </c>
      <c r="F18" s="7">
        <f>SUM(F13:F17)</f>
        <v>3104913</v>
      </c>
      <c r="G18">
        <f>SUM(G13:G17)</f>
        <v>487</v>
      </c>
      <c r="I18" s="4" t="s">
        <v>64</v>
      </c>
      <c r="J18">
        <f>IFERROR(GETPIVOTDATA("Full Name",$I$4,"Age range","56 &lt;"),"0")</f>
        <v>9</v>
      </c>
      <c r="N18" s="9">
        <f>SUM(O13)/SUM($O$11:$O$13)</f>
        <v>0.38</v>
      </c>
      <c r="O18" s="11">
        <f>1-N18</f>
        <v>0.62</v>
      </c>
      <c r="T18" s="4" t="s">
        <v>168</v>
      </c>
      <c r="U18">
        <f>SUM(U13:U17)</f>
        <v>50</v>
      </c>
      <c r="W18" s="4" t="s">
        <v>168</v>
      </c>
      <c r="X18" s="19">
        <f>AVERAGE(X13:X17)</f>
        <v>2.6105050505050502</v>
      </c>
    </row>
    <row r="19" spans="5:24">
      <c r="I19" s="4" t="s">
        <v>168</v>
      </c>
      <c r="J19">
        <f>SUM(J14:J18)</f>
        <v>50</v>
      </c>
    </row>
    <row r="22" spans="5:24">
      <c r="I22" s="4" t="s">
        <v>36</v>
      </c>
      <c r="J22">
        <f>IFERROR(GETPIVOTDATA("Full Name",$I$4,"Gender","Female"),"0")</f>
        <v>26</v>
      </c>
      <c r="K22" s="10">
        <f t="shared" ref="K22:K23" si="0">SUM(J22)/SUM($J$22:$J$23)</f>
        <v>0.52</v>
      </c>
      <c r="L22" s="11">
        <f>1-K22</f>
        <v>0.48</v>
      </c>
    </row>
    <row r="23" spans="5:24">
      <c r="I23" s="4" t="s">
        <v>22</v>
      </c>
      <c r="J23">
        <f>IFERROR(GETPIVOTDATA("Full Name",$I$4,"Gender","Male"),"0")</f>
        <v>24</v>
      </c>
      <c r="K23" s="10">
        <f t="shared" si="0"/>
        <v>0.48</v>
      </c>
      <c r="L23" s="11">
        <f>1-K23</f>
        <v>0.52</v>
      </c>
    </row>
    <row r="24" spans="5:24">
      <c r="I24" s="4" t="s">
        <v>168</v>
      </c>
      <c r="J24">
        <f>SUM(J22:J23)</f>
        <v>50</v>
      </c>
    </row>
  </sheetData>
  <mergeCells count="5">
    <mergeCell ref="I2:L2"/>
    <mergeCell ref="N2:O2"/>
    <mergeCell ref="Q2:R2"/>
    <mergeCell ref="T2:U2"/>
    <mergeCell ref="W2:X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A73E87-B0B9-45EC-8597-3ABB3C55EF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Dejas Nandha</dc:creator>
  <cp:keywords/>
  <dc:description/>
  <cp:lastModifiedBy>Dejas Nandha</cp:lastModifiedBy>
  <cp:revision/>
  <dcterms:created xsi:type="dcterms:W3CDTF">2026-01-13T15:23:25Z</dcterms:created>
  <dcterms:modified xsi:type="dcterms:W3CDTF">2026-01-19T10:23:32Z</dcterms:modified>
  <cp:category/>
  <cp:contentStatus/>
</cp:coreProperties>
</file>